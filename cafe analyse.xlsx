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24a8d35dd0d473cc/Desktop/"/>
    </mc:Choice>
  </mc:AlternateContent>
  <xr:revisionPtr revIDLastSave="0" documentId="8_{E6087C1F-6B29-419F-B343-43882FDA879A}" xr6:coauthVersionLast="47" xr6:coauthVersionMax="47" xr10:uidLastSave="{00000000-0000-0000-0000-000000000000}"/>
  <bookViews>
    <workbookView xWindow="-108" yWindow="-108" windowWidth="23256" windowHeight="12456" activeTab="1" xr2:uid="{A03DD2BB-A3A3-4233-A62F-8384C0DF7210}"/>
  </bookViews>
  <sheets>
    <sheet name="Sheet" sheetId="2" r:id="rId1"/>
    <sheet name="BERW HAVEN CAFE" sheetId="1" r:id="rId2"/>
  </sheets>
  <definedNames>
    <definedName name="_xlcn.WorksheetConnection_Book1Sheet11" hidden="1">Sheet1[]</definedName>
    <definedName name="_xlcn.WorksheetConnection_Sheet12A1H20011" hidden="1">Sheet!$A$1:$H$2001</definedName>
    <definedName name="ExternalData_1" localSheetId="0" hidden="1">Sheet!$A$1:$H$2001</definedName>
    <definedName name="Slicer_Channel">#N/A</definedName>
    <definedName name="Slicer_Customer_Type">#N/A</definedName>
    <definedName name="Slicer_Date__Month">#N/A</definedName>
    <definedName name="Slicer_Service_Type">#N/A</definedName>
  </definedNames>
  <calcPr calcId="191029"/>
  <pivotCaches>
    <pivotCache cacheId="579" r:id="rId3"/>
    <pivotCache cacheId="582" r:id="rId4"/>
    <pivotCache cacheId="585" r:id="rId5"/>
    <pivotCache cacheId="588" r:id="rId6"/>
    <pivotCache cacheId="591" r:id="rId7"/>
    <pivotCache cacheId="594" r:id="rId8"/>
    <pivotCache cacheId="597" r:id="rId9"/>
    <pivotCache cacheId="600" r:id="rId10"/>
  </pivotCaches>
  <extLst>
    <ext xmlns:x14="http://schemas.microsoft.com/office/spreadsheetml/2009/9/main" uri="{876F7934-8845-4945-9796-88D515C7AA90}">
      <x14:pivotCaches>
        <pivotCache cacheId="252"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 (2)!$A$1:$H$2001"/>
          <x15:modelTable id="Sheet1" name="Sheet1" connection="WorksheetConnection_Book1!Sheet1"/>
        </x15:modelTables>
        <x15:modelRelationships>
          <x15:modelRelationship fromTable="Range" fromColumn="Customer Type" toTable="Sheet1" toColumn="ROI"/>
        </x15:modelRelationship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5" i="2" l="1"/>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N24" i="2"/>
  <c r="N23" i="2"/>
  <c r="N22" i="2"/>
  <c r="N21"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J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132906-A4A3-4F21-93FE-8E32330C052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F64546B6-9591-4F81-AC3F-AF6D0A869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7B16B56-DCC3-415C-9144-978EF1AD4AFB}" name="WorksheetConnection_Book1!Sheet1" type="102" refreshedVersion="8" minRefreshableVersion="5">
    <extLst>
      <ext xmlns:x15="http://schemas.microsoft.com/office/spreadsheetml/2010/11/main" uri="{DE250136-89BD-433C-8126-D09CA5730AF9}">
        <x15:connection id="Sheet1">
          <x15:rangePr sourceName="_xlcn.WorksheetConnection_Book1Sheet11"/>
        </x15:connection>
      </ext>
    </extLst>
  </connection>
  <connection id="4" xr16:uid="{7299F590-F993-40A5-AF6D-0648E4F5272F}" name="WorksheetConnection_Sheet1 (2)!$A$1:$H$2001" type="102" refreshedVersion="8" minRefreshableVersion="5">
    <extLst>
      <ext xmlns:x15="http://schemas.microsoft.com/office/spreadsheetml/2010/11/main" uri="{DE250136-89BD-433C-8126-D09CA5730AF9}">
        <x15:connection id="Range" autoDelete="1">
          <x15:rangePr sourceName="_xlcn.WorksheetConnection_Sheet12A1H20011"/>
        </x15:connection>
      </ext>
    </extLst>
  </connection>
</connections>
</file>

<file path=xl/sharedStrings.xml><?xml version="1.0" encoding="utf-8"?>
<sst xmlns="http://schemas.openxmlformats.org/spreadsheetml/2006/main" count="8069" uniqueCount="39">
  <si>
    <t>Date</t>
  </si>
  <si>
    <t>Revenue</t>
  </si>
  <si>
    <t>Ad Spend</t>
  </si>
  <si>
    <t>Conversions</t>
  </si>
  <si>
    <t>Service Type</t>
  </si>
  <si>
    <t>Customer Type</t>
  </si>
  <si>
    <t>Channel</t>
  </si>
  <si>
    <t>Region</t>
  </si>
  <si>
    <t>Standard</t>
  </si>
  <si>
    <t>Returning</t>
  </si>
  <si>
    <t>Instagram</t>
  </si>
  <si>
    <t>West</t>
  </si>
  <si>
    <t>Referral</t>
  </si>
  <si>
    <t>Seasonal</t>
  </si>
  <si>
    <t>Google</t>
  </si>
  <si>
    <t>South</t>
  </si>
  <si>
    <t>Premium</t>
  </si>
  <si>
    <t>New</t>
  </si>
  <si>
    <t>East</t>
  </si>
  <si>
    <t>Email</t>
  </si>
  <si>
    <t>North</t>
  </si>
  <si>
    <t>Row Labels</t>
  </si>
  <si>
    <t>Grand Total</t>
  </si>
  <si>
    <t>Jan</t>
  </si>
  <si>
    <t>Feb</t>
  </si>
  <si>
    <t>Mar</t>
  </si>
  <si>
    <t>Apr</t>
  </si>
  <si>
    <t>Sum of Ad Spend</t>
  </si>
  <si>
    <t>Sum of Conversions</t>
  </si>
  <si>
    <t>Sum of Revenue</t>
  </si>
  <si>
    <t>Profit</t>
  </si>
  <si>
    <t>Total Sales</t>
  </si>
  <si>
    <t>Total Revenue</t>
  </si>
  <si>
    <t>Total Conversions</t>
  </si>
  <si>
    <t>Total Ad Spend</t>
  </si>
  <si>
    <t>ROI</t>
  </si>
  <si>
    <t>Total ROI (Sum)</t>
  </si>
  <si>
    <t>Count of Service Type</t>
  </si>
  <si>
    <t>Sum of 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</si>
</sst>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2" borderId="0" xfId="0" applyNumberFormat="1" applyFill="1"/>
    <xf numFmtId="0" fontId="0" fillId="2" borderId="0" xfId="0" applyFill="1"/>
    <xf numFmtId="0" fontId="0" fillId="3" borderId="0" xfId="0" applyFill="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pivotCacheDefinition" Target="pivotCache/pivotCacheDefinition1.xml"/><Relationship Id="rId21" Type="http://schemas.openxmlformats.org/officeDocument/2006/relationships/calcChain" Target="calcChain.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analyse.xlsx]Sheet!PivotTable1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ritannic Bold" panose="020B0903060703020204" pitchFamily="34" charset="0"/>
                <a:ea typeface="+mn-ea"/>
                <a:cs typeface="+mn-cs"/>
              </a:defRPr>
            </a:pPr>
            <a:r>
              <a:rPr lang="en-US" b="0">
                <a:solidFill>
                  <a:sysClr val="windowText" lastClr="000000"/>
                </a:solidFill>
                <a:latin typeface="Britannic Bold" panose="020B0903060703020204" pitchFamily="34" charset="0"/>
              </a:rPr>
              <a:t>ADS</a:t>
            </a:r>
            <a:r>
              <a:rPr lang="en-US" b="0" baseline="0">
                <a:solidFill>
                  <a:sysClr val="windowText" lastClr="000000"/>
                </a:solidFill>
                <a:latin typeface="Britannic Bold" panose="020B0903060703020204" pitchFamily="34" charset="0"/>
              </a:rPr>
              <a:t> Spend By Date</a:t>
            </a:r>
            <a:endParaRPr lang="ar-EG" b="0">
              <a:solidFill>
                <a:sysClr val="windowText" lastClr="000000"/>
              </a:solidFill>
              <a:latin typeface="Britannic Bold" panose="020B0903060703020204" pitchFamily="34" charset="0"/>
            </a:endParaRPr>
          </a:p>
        </c:rich>
      </c:tx>
      <c:layout>
        <c:manualLayout>
          <c:xMode val="edge"/>
          <c:yMode val="edge"/>
          <c:x val="0.2856178915135608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ritannic Bold" panose="020B0903060703020204" pitchFamily="34" charset="0"/>
              <a:ea typeface="+mn-ea"/>
              <a:cs typeface="+mn-cs"/>
            </a:defRPr>
          </a:pPr>
          <a:endParaRPr lang="ar-E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Sheet!$N$4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Sheet!$M$5:$M$9</c:f>
              <c:strCache>
                <c:ptCount val="4"/>
                <c:pt idx="0">
                  <c:v>Jan</c:v>
                </c:pt>
                <c:pt idx="1">
                  <c:v>Mar</c:v>
                </c:pt>
                <c:pt idx="2">
                  <c:v>Apr</c:v>
                </c:pt>
                <c:pt idx="3">
                  <c:v>Feb</c:v>
                </c:pt>
              </c:strCache>
            </c:strRef>
          </c:cat>
          <c:val>
            <c:numRef>
              <c:f>Sheet!$N$5:$N$9</c:f>
              <c:numCache>
                <c:formatCode>General</c:formatCode>
                <c:ptCount val="4"/>
                <c:pt idx="0">
                  <c:v>135917.51</c:v>
                </c:pt>
                <c:pt idx="1">
                  <c:v>130869.02</c:v>
                </c:pt>
                <c:pt idx="2">
                  <c:v>120344.28</c:v>
                </c:pt>
                <c:pt idx="3">
                  <c:v>110527.54</c:v>
                </c:pt>
              </c:numCache>
            </c:numRef>
          </c:val>
          <c:extLst>
            <c:ext xmlns:c16="http://schemas.microsoft.com/office/drawing/2014/chart" uri="{C3380CC4-5D6E-409C-BE32-E72D297353CC}">
              <c16:uniqueId val="{00000001-4BBB-4438-985D-E6FDD2CD5B85}"/>
            </c:ext>
          </c:extLst>
        </c:ser>
        <c:dLbls>
          <c:dLblPos val="outEnd"/>
          <c:showLegendKey val="0"/>
          <c:showVal val="1"/>
          <c:showCatName val="0"/>
          <c:showSerName val="0"/>
          <c:showPercent val="0"/>
          <c:showBubbleSize val="0"/>
        </c:dLbls>
        <c:gapWidth val="219"/>
        <c:overlap val="-27"/>
        <c:axId val="1728611055"/>
        <c:axId val="1728598575"/>
      </c:barChart>
      <c:catAx>
        <c:axId val="172861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98575"/>
        <c:crosses val="autoZero"/>
        <c:auto val="1"/>
        <c:lblAlgn val="ctr"/>
        <c:lblOffset val="100"/>
        <c:noMultiLvlLbl val="0"/>
      </c:catAx>
      <c:valAx>
        <c:axId val="172859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61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analyse.xlsx]Sheet!PivotTable2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ritannic Bold" panose="020B0903060703020204" pitchFamily="34" charset="0"/>
                <a:ea typeface="+mn-ea"/>
                <a:cs typeface="+mn-cs"/>
              </a:defRPr>
            </a:pPr>
            <a:r>
              <a:rPr lang="en-US" b="0">
                <a:solidFill>
                  <a:sysClr val="windowText" lastClr="000000"/>
                </a:solidFill>
                <a:latin typeface="Britannic Bold" panose="020B0903060703020204" pitchFamily="34" charset="0"/>
              </a:rPr>
              <a:t>Conversation</a:t>
            </a:r>
            <a:r>
              <a:rPr lang="en-US" b="0" baseline="0">
                <a:solidFill>
                  <a:sysClr val="windowText" lastClr="000000"/>
                </a:solidFill>
                <a:latin typeface="Britannic Bold" panose="020B0903060703020204" pitchFamily="34" charset="0"/>
              </a:rPr>
              <a:t> By Date</a:t>
            </a:r>
            <a:endParaRPr lang="en-US" b="0">
              <a:solidFill>
                <a:sysClr val="windowText" lastClr="000000"/>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ritannic Bold" panose="020B0903060703020204" pitchFamily="34" charset="0"/>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Sheet!$N$13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Sheet!$M$14:$M$18</c:f>
              <c:strCache>
                <c:ptCount val="4"/>
                <c:pt idx="0">
                  <c:v>Jan</c:v>
                </c:pt>
                <c:pt idx="1">
                  <c:v>Feb</c:v>
                </c:pt>
                <c:pt idx="2">
                  <c:v>Mar</c:v>
                </c:pt>
                <c:pt idx="3">
                  <c:v>Apr</c:v>
                </c:pt>
              </c:strCache>
            </c:strRef>
          </c:cat>
          <c:val>
            <c:numRef>
              <c:f>Sheet!$N$14:$N$18</c:f>
              <c:numCache>
                <c:formatCode>General</c:formatCode>
                <c:ptCount val="4"/>
                <c:pt idx="0">
                  <c:v>2584</c:v>
                </c:pt>
                <c:pt idx="1">
                  <c:v>2122</c:v>
                </c:pt>
                <c:pt idx="2">
                  <c:v>2732</c:v>
                </c:pt>
                <c:pt idx="3">
                  <c:v>2501</c:v>
                </c:pt>
              </c:numCache>
            </c:numRef>
          </c:val>
          <c:extLst>
            <c:ext xmlns:c16="http://schemas.microsoft.com/office/drawing/2014/chart" uri="{C3380CC4-5D6E-409C-BE32-E72D297353CC}">
              <c16:uniqueId val="{00000001-E9AC-4135-B02E-178C52B589CA}"/>
            </c:ext>
          </c:extLst>
        </c:ser>
        <c:dLbls>
          <c:showLegendKey val="0"/>
          <c:showVal val="1"/>
          <c:showCatName val="0"/>
          <c:showSerName val="0"/>
          <c:showPercent val="0"/>
          <c:showBubbleSize val="0"/>
        </c:dLbls>
        <c:gapWidth val="150"/>
        <c:shape val="box"/>
        <c:axId val="1728597135"/>
        <c:axId val="1728608655"/>
        <c:axId val="0"/>
      </c:bar3DChart>
      <c:catAx>
        <c:axId val="1728597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608655"/>
        <c:crosses val="autoZero"/>
        <c:auto val="1"/>
        <c:lblAlgn val="ctr"/>
        <c:lblOffset val="100"/>
        <c:noMultiLvlLbl val="0"/>
      </c:catAx>
      <c:valAx>
        <c:axId val="172860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9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analyse.xlsx]Sheet!PivotTable4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Britannic Bold" panose="020B0903060703020204" pitchFamily="34" charset="0"/>
                <a:ea typeface="+mn-ea"/>
                <a:cs typeface="+mn-cs"/>
              </a:defRPr>
            </a:pPr>
            <a:r>
              <a:rPr lang="en-US">
                <a:solidFill>
                  <a:sysClr val="windowText" lastClr="000000"/>
                </a:solidFill>
                <a:latin typeface="Britannic Bold" panose="020B0903060703020204" pitchFamily="34" charset="0"/>
              </a:rPr>
              <a:t>ADS</a:t>
            </a:r>
            <a:r>
              <a:rPr lang="en-US" baseline="0">
                <a:solidFill>
                  <a:sysClr val="windowText" lastClr="000000"/>
                </a:solidFill>
                <a:latin typeface="Britannic Bold" panose="020B0903060703020204" pitchFamily="34" charset="0"/>
              </a:rPr>
              <a:t> Spend By Regoin</a:t>
            </a:r>
            <a:endParaRPr lang="en-US">
              <a:solidFill>
                <a:sysClr val="windowText" lastClr="000000"/>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Britannic Bold" panose="020B0903060703020204" pitchFamily="34"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772200349956257E-2"/>
              <c:y val="-9.7882035578885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421259842519683E-3"/>
              <c:y val="-2.6868256051326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103893263342084E-3"/>
              <c:y val="3.80438903470399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064741907261592E-3"/>
              <c:y val="9.3862642169728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1772200349956257E-2"/>
              <c:y val="-9.7882035578885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064741907261592E-3"/>
              <c:y val="9.3862642169728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103893263342084E-3"/>
              <c:y val="3.80438903470399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421259842519683E-3"/>
              <c:y val="-2.6868256051326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7883420822397197E-2"/>
              <c:y val="-1.42697881828317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064741907261592E-3"/>
              <c:y val="9.3862642169728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103893263342084E-3"/>
              <c:y val="3.80438903470399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421259842519683E-3"/>
              <c:y val="-2.6868256051326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Sheet!$Q$13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0"/>
              <c:layout>
                <c:manualLayout>
                  <c:x val="5.7883420822397197E-2"/>
                  <c:y val="-1.4269788182831712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1.7064741907261592E-3"/>
                  <c:y val="9.3862642169728783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2"/>
              <c:layout>
                <c:manualLayout>
                  <c:x val="-5.0103893263342084E-3"/>
                  <c:y val="3.8043890347039956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3"/>
              <c:layout>
                <c:manualLayout>
                  <c:x val="-3.2421259842519683E-3"/>
                  <c:y val="-2.6868256051326918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Sheet!$P$14:$P$18</c:f>
              <c:strCache>
                <c:ptCount val="4"/>
                <c:pt idx="0">
                  <c:v>West</c:v>
                </c:pt>
                <c:pt idx="1">
                  <c:v>North</c:v>
                </c:pt>
                <c:pt idx="2">
                  <c:v>East</c:v>
                </c:pt>
                <c:pt idx="3">
                  <c:v>South</c:v>
                </c:pt>
              </c:strCache>
            </c:strRef>
          </c:cat>
          <c:val>
            <c:numRef>
              <c:f>Sheet!$Q$14:$Q$18</c:f>
              <c:numCache>
                <c:formatCode>General</c:formatCode>
                <c:ptCount val="4"/>
                <c:pt idx="0">
                  <c:v>127838.45</c:v>
                </c:pt>
                <c:pt idx="1">
                  <c:v>126420.88</c:v>
                </c:pt>
                <c:pt idx="2">
                  <c:v>125105.65</c:v>
                </c:pt>
                <c:pt idx="3">
                  <c:v>118293.37</c:v>
                </c:pt>
              </c:numCache>
            </c:numRef>
          </c:val>
          <c:extLst>
            <c:ext xmlns:c16="http://schemas.microsoft.com/office/drawing/2014/chart" uri="{C3380CC4-5D6E-409C-BE32-E72D297353CC}">
              <c16:uniqueId val="{00000009-8643-48CB-A983-62E50B6D6645}"/>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1180555555555556"/>
          <c:y val="0.14879520268299795"/>
          <c:w val="0.12054036645842388"/>
          <c:h val="0.45801228364042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analyse.xlsx]Sheet!PivotTable9</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latin typeface="Britannic Bold" panose="020B0903060703020204" pitchFamily="34" charset="0"/>
              </a:rPr>
              <a:t>conversation</a:t>
            </a:r>
          </a:p>
          <a:p>
            <a:pPr>
              <a:defRPr/>
            </a:pPr>
            <a:endParaRPr lang="en-US" sz="1400" b="0">
              <a:latin typeface="Britannic Bold" panose="020B0903060703020204" pitchFamily="34" charset="0"/>
            </a:endParaRPr>
          </a:p>
          <a:p>
            <a:pPr>
              <a:defRPr/>
            </a:pPr>
            <a:r>
              <a:rPr lang="en-US" sz="1400" b="0">
                <a:latin typeface="Britannic Bold" panose="020B0903060703020204" pitchFamily="34" charset="0"/>
              </a:rPr>
              <a:t>&amp;</a:t>
            </a:r>
            <a:r>
              <a:rPr lang="en-US" sz="1400" b="0" baseline="0">
                <a:latin typeface="Britannic Bold" panose="020B0903060703020204" pitchFamily="34" charset="0"/>
              </a:rPr>
              <a:t> ADS Spend</a:t>
            </a:r>
          </a:p>
          <a:p>
            <a:pPr>
              <a:defRPr/>
            </a:pPr>
            <a:endParaRPr lang="en-US" sz="1400" b="0" baseline="0">
              <a:latin typeface="Britannic Bold" panose="020B0903060703020204" pitchFamily="34" charset="0"/>
            </a:endParaRPr>
          </a:p>
          <a:p>
            <a:pPr>
              <a:defRPr/>
            </a:pPr>
            <a:r>
              <a:rPr lang="en-US" sz="1400" b="0" baseline="0">
                <a:latin typeface="Britannic Bold" panose="020B0903060703020204" pitchFamily="34" charset="0"/>
              </a:rPr>
              <a:t>By Channel</a:t>
            </a:r>
            <a:endParaRPr lang="en-US" sz="1400" b="0">
              <a:latin typeface="Britannic Bold" panose="020B0903060703020204" pitchFamily="34" charset="0"/>
            </a:endParaRPr>
          </a:p>
        </c:rich>
      </c:tx>
      <c:layout>
        <c:manualLayout>
          <c:xMode val="edge"/>
          <c:yMode val="edge"/>
          <c:x val="0.71762809540111838"/>
          <c:y val="0.1013944485989530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31750" cap="rnd" cmpd="sng" algn="ctr">
            <a:solidFill>
              <a:schemeClr val="accent6"/>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9.1506999125109359E-2"/>
              <c:y val="0.1666666666666666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465685E-F65B-4852-98FF-1D484D60D158}" type="VALUE">
                  <a:rPr lang="en-US">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E"/>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0.10261811023622047"/>
              <c:y val="8.796296296296288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394359A-1DBD-4638-8725-752EFAAEDAD0}" type="VALUE">
                  <a:rPr lang="en-US">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E"/>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0.1109514435695538"/>
              <c:y val="8.79629629629629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5C42EA89-BD4A-4228-A071-DC2279017DBA}" type="VALUE">
                  <a:rPr lang="en-US">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E"/>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1.283333333333338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2.672222222222222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9.7722222222222224E-2"/>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0.1322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6.5611111111111106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0.1109514435695538"/>
              <c:y val="8.79629629629629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5C42EA89-BD4A-4228-A071-DC2279017DBA}" type="VALUE">
                  <a:rPr lang="en-US">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E"/>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0.10261811023622047"/>
              <c:y val="8.796296296296288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394359A-1DBD-4638-8725-752EFAAEDAD0}" type="VALUE">
                  <a:rPr lang="en-US">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E"/>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9.1506999125109359E-2"/>
              <c:y val="0.1666666666666666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465685E-F65B-4852-98FF-1D484D60D158}" type="VALUE">
                  <a:rPr lang="en-US">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E"/>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layout>
            <c:manualLayout>
              <c:x val="-9.7722222222222224E-2"/>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31750" cap="rnd" cmpd="sng" algn="ctr">
            <a:solidFill>
              <a:schemeClr val="accent6"/>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0.1322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6.5611111111111106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1.283333333333338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alpha val="85000"/>
            </a:schemeClr>
          </a:solidFill>
          <a:ln w="31750" cap="rnd" cmpd="sng" algn="ctr">
            <a:solidFill>
              <a:schemeClr val="accent5"/>
            </a:solidFill>
            <a:round/>
          </a:ln>
          <a:effectLst/>
        </c:spPr>
        <c:marker>
          <c:symbol val="circle"/>
          <c:size val="17"/>
          <c:spPr>
            <a:solidFill>
              <a:schemeClr val="accent5"/>
            </a:solidFill>
            <a:ln>
              <a:noFill/>
            </a:ln>
            <a:effectLst/>
          </c:spPr>
        </c:marker>
        <c:dLbl>
          <c:idx val="0"/>
          <c:layout>
            <c:manualLayout>
              <c:x val="-2.672222222222222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accent6"/>
            </a:solidFill>
            <a:round/>
          </a:ln>
          <a:effectLst/>
        </c:spPr>
        <c:marker>
          <c:symbol val="circle"/>
          <c:size val="17"/>
          <c:spPr>
            <a:solidFill>
              <a:schemeClr val="accent6"/>
            </a:solidFill>
            <a:ln>
              <a:noFill/>
            </a:ln>
            <a:effectLst/>
          </c:spPr>
        </c:marker>
        <c:dLbl>
          <c:idx val="0"/>
          <c:layout>
            <c:manualLayout>
              <c:x val="-0.1109514435695538"/>
              <c:y val="8.79629629629629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5C42EA89-BD4A-4228-A071-DC2279017DBA}" type="VALUE">
                  <a:rPr lang="en-US">
                    <a:solidFill>
                      <a:sysClr val="windowText" lastClr="000000"/>
                    </a:solidFill>
                  </a:rPr>
                  <a:pPr>
                    <a:defRPr>
                      <a:solidFill>
                        <a:sysClr val="windowText" lastClr="000000"/>
                      </a:solidFill>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ln w="31750" cap="rnd">
            <a:solidFill>
              <a:schemeClr val="accent6"/>
            </a:solidFill>
            <a:round/>
          </a:ln>
          <a:effectLst/>
        </c:spPr>
        <c:marker>
          <c:symbol val="circle"/>
          <c:size val="17"/>
          <c:spPr>
            <a:solidFill>
              <a:schemeClr val="accent6"/>
            </a:solidFill>
            <a:ln>
              <a:noFill/>
            </a:ln>
            <a:effectLst/>
          </c:spPr>
        </c:marker>
        <c:dLbl>
          <c:idx val="0"/>
          <c:layout>
            <c:manualLayout>
              <c:x val="-0.10261811023622047"/>
              <c:y val="8.7962962962962882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394359A-1DBD-4638-8725-752EFAAEDAD0}" type="VALUE">
                  <a:rPr lang="en-US">
                    <a:solidFill>
                      <a:sysClr val="windowText" lastClr="000000"/>
                    </a:solidFill>
                  </a:rPr>
                  <a:pPr>
                    <a:defRPr>
                      <a:solidFill>
                        <a:sysClr val="windowText" lastClr="000000"/>
                      </a:solidFill>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ln w="31750" cap="rnd">
            <a:solidFill>
              <a:schemeClr val="accent6"/>
            </a:solidFill>
            <a:round/>
          </a:ln>
          <a:effectLst/>
        </c:spPr>
        <c:marker>
          <c:symbol val="circle"/>
          <c:size val="17"/>
          <c:spPr>
            <a:solidFill>
              <a:schemeClr val="accent6"/>
            </a:solidFill>
            <a:ln>
              <a:noFill/>
            </a:ln>
            <a:effectLst/>
          </c:spPr>
        </c:marker>
        <c:dLbl>
          <c:idx val="0"/>
          <c:layout>
            <c:manualLayout>
              <c:x val="-9.1506999125109359E-2"/>
              <c:y val="0.16666666666666666"/>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465685E-F65B-4852-98FF-1D484D60D158}" type="VALUE">
                  <a:rPr lang="en-US">
                    <a:solidFill>
                      <a:sysClr val="windowText" lastClr="000000"/>
                    </a:solidFill>
                  </a:rPr>
                  <a:pPr>
                    <a:defRPr>
                      <a:solidFill>
                        <a:sysClr val="windowText" lastClr="000000"/>
                      </a:solidFill>
                    </a:defRPr>
                  </a:pPr>
                  <a:t>[VALUE]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ln w="31750" cap="rnd">
            <a:solidFill>
              <a:schemeClr val="accent6"/>
            </a:solidFill>
            <a:round/>
          </a:ln>
          <a:effectLst/>
        </c:spPr>
        <c:marker>
          <c:symbol val="circle"/>
          <c:size val="17"/>
          <c:spPr>
            <a:solidFill>
              <a:schemeClr val="accent6"/>
            </a:solidFill>
            <a:ln>
              <a:noFill/>
            </a:ln>
            <a:effectLst/>
          </c:spPr>
        </c:marker>
        <c:dLbl>
          <c:idx val="0"/>
          <c:layout>
            <c:manualLayout>
              <c:x val="-9.7722222222222224E-2"/>
              <c:y val="8.79629629629628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chemeClr val="accent6"/>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accent5"/>
            </a:solidFill>
            <a:round/>
          </a:ln>
          <a:effectLst/>
        </c:spPr>
        <c:marker>
          <c:symbol val="circle"/>
          <c:size val="17"/>
          <c:spPr>
            <a:solidFill>
              <a:schemeClr val="accent5"/>
            </a:solidFill>
            <a:ln>
              <a:noFill/>
            </a:ln>
            <a:effectLst/>
          </c:spPr>
        </c:marker>
        <c:dLbl>
          <c:idx val="0"/>
          <c:layout>
            <c:manualLayout>
              <c:x val="-0.1322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accent5"/>
            </a:solidFill>
            <a:round/>
          </a:ln>
          <a:effectLst/>
        </c:spPr>
        <c:marker>
          <c:symbol val="circle"/>
          <c:size val="17"/>
          <c:spPr>
            <a:solidFill>
              <a:schemeClr val="accent5"/>
            </a:solidFill>
            <a:ln>
              <a:noFill/>
            </a:ln>
            <a:effectLst/>
          </c:spPr>
        </c:marker>
        <c:dLbl>
          <c:idx val="0"/>
          <c:layout>
            <c:manualLayout>
              <c:x val="-6.5611111111111106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accent5"/>
            </a:solidFill>
            <a:round/>
          </a:ln>
          <a:effectLst/>
        </c:spPr>
        <c:marker>
          <c:symbol val="circle"/>
          <c:size val="17"/>
          <c:spPr>
            <a:solidFill>
              <a:schemeClr val="accent5"/>
            </a:solidFill>
            <a:ln>
              <a:noFill/>
            </a:ln>
            <a:effectLst/>
          </c:spPr>
        </c:marker>
        <c:dLbl>
          <c:idx val="0"/>
          <c:layout>
            <c:manualLayout>
              <c:x val="-1.2833333333333384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accent5"/>
            </a:solidFill>
            <a:round/>
          </a:ln>
          <a:effectLst/>
        </c:spPr>
        <c:marker>
          <c:symbol val="circle"/>
          <c:size val="17"/>
          <c:spPr>
            <a:solidFill>
              <a:schemeClr val="accent5"/>
            </a:solidFill>
            <a:ln>
              <a:noFill/>
            </a:ln>
            <a:effectLst/>
          </c:spPr>
        </c:marker>
        <c:dLbl>
          <c:idx val="0"/>
          <c:layout>
            <c:manualLayout>
              <c:x val="-2.672222222222222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57748049052396E-2"/>
          <c:y val="0.11070543556357132"/>
          <c:w val="0.66093825437372167"/>
          <c:h val="0.67892307805099783"/>
        </c:manualLayout>
      </c:layout>
      <c:lineChart>
        <c:grouping val="stacked"/>
        <c:varyColors val="0"/>
        <c:ser>
          <c:idx val="0"/>
          <c:order val="0"/>
          <c:tx>
            <c:strRef>
              <c:f>Sheet!$T$13</c:f>
              <c:strCache>
                <c:ptCount val="1"/>
                <c:pt idx="0">
                  <c:v>Sum of Ad Spend</c:v>
                </c:pt>
              </c:strCache>
            </c:strRef>
          </c:tx>
          <c:spPr>
            <a:ln w="31750" cap="rnd">
              <a:solidFill>
                <a:schemeClr val="accent6"/>
              </a:solidFill>
              <a:round/>
            </a:ln>
            <a:effectLst/>
          </c:spPr>
          <c:marker>
            <c:symbol val="circle"/>
            <c:size val="17"/>
            <c:spPr>
              <a:solidFill>
                <a:schemeClr val="accent6"/>
              </a:solidFill>
              <a:ln>
                <a:noFill/>
              </a:ln>
              <a:effectLst/>
            </c:spPr>
          </c:marker>
          <c:dLbls>
            <c:dLbl>
              <c:idx val="0"/>
              <c:layout>
                <c:manualLayout>
                  <c:x val="-0.1109514435695538"/>
                  <c:y val="8.7962962962962965E-2"/>
                </c:manualLayout>
              </c:layout>
              <c:tx>
                <c:rich>
                  <a:bodyPr/>
                  <a:lstStyle/>
                  <a:p>
                    <a:fld id="{5C42EA89-BD4A-4228-A071-DC2279017DBA}" type="VALUE">
                      <a:rPr lang="en-US">
                        <a:solidFill>
                          <a:sysClr val="windowText" lastClr="000000"/>
                        </a:solidFill>
                      </a:rPr>
                      <a:pPr/>
                      <a:t>[VALUE]</a:t>
                    </a:fld>
                    <a:endParaRPr lang="en-AE"/>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1"/>
              <c:layout>
                <c:manualLayout>
                  <c:x val="-0.10261811023622047"/>
                  <c:y val="8.7962962962962882E-2"/>
                </c:manualLayout>
              </c:layout>
              <c:tx>
                <c:rich>
                  <a:bodyPr/>
                  <a:lstStyle/>
                  <a:p>
                    <a:fld id="{D394359A-1DBD-4638-8725-752EFAAEDAD0}" type="VALUE">
                      <a:rPr lang="en-US">
                        <a:solidFill>
                          <a:sysClr val="windowText" lastClr="000000"/>
                        </a:solidFill>
                      </a:rPr>
                      <a:pPr/>
                      <a:t>[VALUE]</a:t>
                    </a:fld>
                    <a:endParaRPr lang="en-AE"/>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2"/>
              <c:layout>
                <c:manualLayout>
                  <c:x val="-9.1506999125109359E-2"/>
                  <c:y val="0.16666666666666666"/>
                </c:manualLayout>
              </c:layout>
              <c:tx>
                <c:rich>
                  <a:bodyPr/>
                  <a:lstStyle/>
                  <a:p>
                    <a:fld id="{7465685E-F65B-4852-98FF-1D484D60D158}" type="VALUE">
                      <a:rPr lang="en-US">
                        <a:solidFill>
                          <a:sysClr val="windowText" lastClr="000000"/>
                        </a:solidFill>
                      </a:rPr>
                      <a:pPr/>
                      <a:t>[VALUE]</a:t>
                    </a:fld>
                    <a:endParaRPr lang="en-AE"/>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3"/>
              <c:layout>
                <c:manualLayout>
                  <c:x val="-9.7722222222222224E-2"/>
                  <c:y val="8.796296296296288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Sheet!$S$14:$S$18</c:f>
              <c:strCache>
                <c:ptCount val="4"/>
                <c:pt idx="0">
                  <c:v>Email</c:v>
                </c:pt>
                <c:pt idx="1">
                  <c:v>Google</c:v>
                </c:pt>
                <c:pt idx="2">
                  <c:v>Instagram</c:v>
                </c:pt>
                <c:pt idx="3">
                  <c:v>Referral</c:v>
                </c:pt>
              </c:strCache>
            </c:strRef>
          </c:cat>
          <c:val>
            <c:numRef>
              <c:f>Sheet!$T$14:$T$18</c:f>
              <c:numCache>
                <c:formatCode>General</c:formatCode>
                <c:ptCount val="4"/>
                <c:pt idx="0">
                  <c:v>126573.82</c:v>
                </c:pt>
                <c:pt idx="1">
                  <c:v>124095.94</c:v>
                </c:pt>
                <c:pt idx="2">
                  <c:v>125700.59</c:v>
                </c:pt>
                <c:pt idx="3">
                  <c:v>121288</c:v>
                </c:pt>
              </c:numCache>
            </c:numRef>
          </c:val>
          <c:smooth val="0"/>
          <c:extLst>
            <c:ext xmlns:c16="http://schemas.microsoft.com/office/drawing/2014/chart" uri="{C3380CC4-5D6E-409C-BE32-E72D297353CC}">
              <c16:uniqueId val="{0000000A-7D47-4999-B663-DDF25E2419CB}"/>
            </c:ext>
          </c:extLst>
        </c:ser>
        <c:ser>
          <c:idx val="1"/>
          <c:order val="1"/>
          <c:tx>
            <c:strRef>
              <c:f>Sheet!$U$13</c:f>
              <c:strCache>
                <c:ptCount val="1"/>
                <c:pt idx="0">
                  <c:v>Sum of Conversions</c:v>
                </c:pt>
              </c:strCache>
            </c:strRef>
          </c:tx>
          <c:spPr>
            <a:ln w="31750" cap="rnd">
              <a:solidFill>
                <a:schemeClr val="accent5"/>
              </a:solidFill>
              <a:round/>
            </a:ln>
            <a:effectLst/>
          </c:spPr>
          <c:marker>
            <c:symbol val="circle"/>
            <c:size val="17"/>
            <c:spPr>
              <a:solidFill>
                <a:schemeClr val="accent5"/>
              </a:solidFill>
              <a:ln>
                <a:noFill/>
              </a:ln>
              <a:effectLst/>
            </c:spPr>
          </c:marker>
          <c:dLbls>
            <c:dLbl>
              <c:idx val="0"/>
              <c:layout>
                <c:manualLayout>
                  <c:x val="-0.13227777777777777"/>
                  <c:y val="0"/>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6.5611111111111106E-2"/>
                  <c:y val="-8.796296296296297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1.2833333333333384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6722222222222224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Sheet!$S$14:$S$18</c:f>
              <c:strCache>
                <c:ptCount val="4"/>
                <c:pt idx="0">
                  <c:v>Email</c:v>
                </c:pt>
                <c:pt idx="1">
                  <c:v>Google</c:v>
                </c:pt>
                <c:pt idx="2">
                  <c:v>Instagram</c:v>
                </c:pt>
                <c:pt idx="3">
                  <c:v>Referral</c:v>
                </c:pt>
              </c:strCache>
            </c:strRef>
          </c:cat>
          <c:val>
            <c:numRef>
              <c:f>Sheet!$U$14:$U$18</c:f>
              <c:numCache>
                <c:formatCode>General</c:formatCode>
                <c:ptCount val="4"/>
                <c:pt idx="0">
                  <c:v>2706</c:v>
                </c:pt>
                <c:pt idx="1">
                  <c:v>2497</c:v>
                </c:pt>
                <c:pt idx="2">
                  <c:v>2389</c:v>
                </c:pt>
                <c:pt idx="3">
                  <c:v>2347</c:v>
                </c:pt>
              </c:numCache>
            </c:numRef>
          </c:val>
          <c:smooth val="0"/>
          <c:extLst>
            <c:ext xmlns:c16="http://schemas.microsoft.com/office/drawing/2014/chart" uri="{C3380CC4-5D6E-409C-BE32-E72D297353CC}">
              <c16:uniqueId val="{0000000B-7D47-4999-B663-DDF25E2419CB}"/>
            </c:ext>
          </c:extLst>
        </c:ser>
        <c:dLbls>
          <c:dLblPos val="ctr"/>
          <c:showLegendKey val="0"/>
          <c:showVal val="1"/>
          <c:showCatName val="0"/>
          <c:showSerName val="0"/>
          <c:showPercent val="0"/>
          <c:showBubbleSize val="0"/>
        </c:dLbls>
        <c:marker val="1"/>
        <c:smooth val="0"/>
        <c:axId val="986348191"/>
        <c:axId val="986348671"/>
      </c:lineChart>
      <c:catAx>
        <c:axId val="9863481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0" i="0" u="none" strike="noStrike" kern="1200" cap="all" baseline="0">
                <a:solidFill>
                  <a:sysClr val="windowText" lastClr="000000"/>
                </a:solidFill>
                <a:latin typeface="Britannic Bold" panose="020B0903060703020204" pitchFamily="34" charset="0"/>
                <a:ea typeface="+mn-ea"/>
                <a:cs typeface="+mn-cs"/>
              </a:defRPr>
            </a:pPr>
            <a:endParaRPr lang="en-US"/>
          </a:p>
        </c:txPr>
        <c:crossAx val="986348671"/>
        <c:crosses val="autoZero"/>
        <c:auto val="1"/>
        <c:lblAlgn val="ctr"/>
        <c:lblOffset val="100"/>
        <c:noMultiLvlLbl val="0"/>
      </c:catAx>
      <c:valAx>
        <c:axId val="9863486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6348191"/>
        <c:crosses val="autoZero"/>
        <c:crossBetween val="between"/>
      </c:valAx>
      <c:spPr>
        <a:noFill/>
        <a:ln>
          <a:noFill/>
        </a:ln>
        <a:effectLst/>
      </c:spPr>
    </c:plotArea>
    <c:legend>
      <c:legendPos val="r"/>
      <c:layout>
        <c:manualLayout>
          <c:xMode val="edge"/>
          <c:yMode val="edge"/>
          <c:x val="0.70103165406999712"/>
          <c:y val="0.71231517935258104"/>
          <c:w val="0.29896834593000293"/>
          <c:h val="0.279072980460775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analyse.xlsx]Sheet!PivotTable10</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b="0">
                <a:solidFill>
                  <a:sysClr val="windowText" lastClr="000000"/>
                </a:solidFill>
                <a:latin typeface="Britannic Bold" panose="020B0903060703020204" pitchFamily="34" charset="0"/>
              </a:rPr>
              <a:t>ROI</a:t>
            </a:r>
            <a:r>
              <a:rPr lang="en-US" sz="1600" b="0" baseline="0">
                <a:solidFill>
                  <a:sysClr val="windowText" lastClr="000000"/>
                </a:solidFill>
                <a:latin typeface="Britannic Bold" panose="020B0903060703020204" pitchFamily="34" charset="0"/>
              </a:rPr>
              <a:t> By Service type </a:t>
            </a:r>
            <a:endParaRPr lang="en-US" sz="1600" b="0">
              <a:solidFill>
                <a:sysClr val="windowText" lastClr="000000"/>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6">
                  <a:alpha val="0"/>
                </a:schemeClr>
              </a:gs>
              <a:gs pos="50000">
                <a:schemeClr val="accent6"/>
              </a:gs>
            </a:gsLst>
            <a:lin ang="5400000" scaled="0"/>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6">
                  <a:alpha val="0"/>
                </a:schemeClr>
              </a:gs>
              <a:gs pos="50000">
                <a:schemeClr val="accent6"/>
              </a:gs>
            </a:gsLst>
            <a:lin ang="5400000" scaled="0"/>
          </a:gradFill>
          <a:ln>
            <a:noFill/>
          </a:ln>
          <a:effectLst/>
          <a:sp3d/>
        </c:spPr>
        <c:dLbl>
          <c:idx val="0"/>
          <c:layout>
            <c:manualLayout>
              <c:x val="2.0648967551622311E-2"/>
              <c:y val="-5.6882821387940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6">
                  <a:alpha val="0"/>
                </a:schemeClr>
              </a:gs>
              <a:gs pos="50000">
                <a:schemeClr val="accent6"/>
              </a:gs>
            </a:gsLst>
            <a:lin ang="5400000" scaled="0"/>
          </a:gradFill>
          <a:ln>
            <a:noFill/>
          </a:ln>
          <a:effectLst/>
          <a:sp3d/>
        </c:spPr>
        <c:dLbl>
          <c:idx val="0"/>
          <c:layout>
            <c:manualLayout>
              <c:x val="-3.539823008849563E-2"/>
              <c:y val="-0.1251422070534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6">
                  <a:alpha val="0"/>
                </a:schemeClr>
              </a:gs>
              <a:gs pos="50000">
                <a:schemeClr val="accent6"/>
              </a:gs>
            </a:gsLst>
            <a:lin ang="5400000" scaled="0"/>
          </a:gradFill>
          <a:ln>
            <a:noFill/>
          </a:ln>
          <a:effectLst/>
          <a:sp3d/>
        </c:spPr>
        <c:dLbl>
          <c:idx val="0"/>
          <c:layout>
            <c:manualLayout>
              <c:x val="-8.8495575221238937E-3"/>
              <c:y val="-0.125142207053469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Sheet!$Q$21</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dLbls>
            <c:dLbl>
              <c:idx val="0"/>
              <c:layout>
                <c:manualLayout>
                  <c:x val="-8.8495575221238937E-3"/>
                  <c:y val="-0.125142207053469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63-490E-BB71-E0BABA9690DF}"/>
                </c:ext>
              </c:extLst>
            </c:dLbl>
            <c:dLbl>
              <c:idx val="1"/>
              <c:layout>
                <c:manualLayout>
                  <c:x val="-3.539823008849563E-2"/>
                  <c:y val="-0.12514220705346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63-490E-BB71-E0BABA9690DF}"/>
                </c:ext>
              </c:extLst>
            </c:dLbl>
            <c:dLbl>
              <c:idx val="2"/>
              <c:layout>
                <c:manualLayout>
                  <c:x val="2.0648967551622311E-2"/>
                  <c:y val="-5.68828213879408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63-490E-BB71-E0BABA9690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Sheet!$P$22:$P$25</c:f>
              <c:strCache>
                <c:ptCount val="3"/>
                <c:pt idx="0">
                  <c:v>Seasonal</c:v>
                </c:pt>
                <c:pt idx="1">
                  <c:v>Premium</c:v>
                </c:pt>
                <c:pt idx="2">
                  <c:v>Standard</c:v>
                </c:pt>
              </c:strCache>
            </c:strRef>
          </c:cat>
          <c:val>
            <c:numRef>
              <c:f>Sheet!$Q$22:$Q$25</c:f>
              <c:numCache>
                <c:formatCode>General</c:formatCode>
                <c:ptCount val="3"/>
                <c:pt idx="0">
                  <c:v>3346.5105208431219</c:v>
                </c:pt>
                <c:pt idx="1">
                  <c:v>3647.1368607602003</c:v>
                </c:pt>
                <c:pt idx="2">
                  <c:v>3827.7513134763362</c:v>
                </c:pt>
              </c:numCache>
            </c:numRef>
          </c:val>
          <c:extLst>
            <c:ext xmlns:c16="http://schemas.microsoft.com/office/drawing/2014/chart" uri="{C3380CC4-5D6E-409C-BE32-E72D297353CC}">
              <c16:uniqueId val="{00000000-3B63-490E-BB71-E0BABA9690DF}"/>
            </c:ext>
          </c:extLst>
        </c:ser>
        <c:dLbls>
          <c:showLegendKey val="0"/>
          <c:showVal val="1"/>
          <c:showCatName val="0"/>
          <c:showSerName val="0"/>
          <c:showPercent val="0"/>
          <c:showBubbleSize val="0"/>
        </c:dLbls>
        <c:gapWidth val="150"/>
        <c:gapDepth val="0"/>
        <c:shape val="box"/>
        <c:axId val="1102368767"/>
        <c:axId val="1102366847"/>
        <c:axId val="0"/>
      </c:bar3DChart>
      <c:catAx>
        <c:axId val="110236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66847"/>
        <c:crosses val="autoZero"/>
        <c:auto val="1"/>
        <c:lblAlgn val="ctr"/>
        <c:lblOffset val="100"/>
        <c:noMultiLvlLbl val="0"/>
      </c:catAx>
      <c:valAx>
        <c:axId val="110236684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6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6.sv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68580</xdr:rowOff>
    </xdr:from>
    <xdr:to>
      <xdr:col>7</xdr:col>
      <xdr:colOff>304800</xdr:colOff>
      <xdr:row>27</xdr:row>
      <xdr:rowOff>68580</xdr:rowOff>
    </xdr:to>
    <xdr:graphicFrame macro="">
      <xdr:nvGraphicFramePr>
        <xdr:cNvPr id="2" name="Chart 1">
          <a:extLst>
            <a:ext uri="{FF2B5EF4-FFF2-40B4-BE49-F238E27FC236}">
              <a16:creationId xmlns:a16="http://schemas.microsoft.com/office/drawing/2014/main" id="{089E7BF8-4575-40E7-BFF0-92D2229EA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12</xdr:row>
      <xdr:rowOff>68580</xdr:rowOff>
    </xdr:from>
    <xdr:to>
      <xdr:col>15</xdr:col>
      <xdr:colOff>0</xdr:colOff>
      <xdr:row>27</xdr:row>
      <xdr:rowOff>68580</xdr:rowOff>
    </xdr:to>
    <xdr:graphicFrame macro="">
      <xdr:nvGraphicFramePr>
        <xdr:cNvPr id="3" name="Chart 2">
          <a:extLst>
            <a:ext uri="{FF2B5EF4-FFF2-40B4-BE49-F238E27FC236}">
              <a16:creationId xmlns:a16="http://schemas.microsoft.com/office/drawing/2014/main" id="{97B33DE9-E755-4411-A48D-595A0E88E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365760</xdr:colOff>
      <xdr:row>2</xdr:row>
      <xdr:rowOff>60960</xdr:rowOff>
    </xdr:from>
    <xdr:to>
      <xdr:col>7</xdr:col>
      <xdr:colOff>342900</xdr:colOff>
      <xdr:row>11</xdr:row>
      <xdr:rowOff>121920</xdr:rowOff>
    </xdr:to>
    <xdr:pic>
      <xdr:nvPicPr>
        <xdr:cNvPr id="5" name="Graphic 4" descr="Coffee with solid fill">
          <a:extLst>
            <a:ext uri="{FF2B5EF4-FFF2-40B4-BE49-F238E27FC236}">
              <a16:creationId xmlns:a16="http://schemas.microsoft.com/office/drawing/2014/main" id="{98D3746B-60B9-6858-BB00-0B35A6090F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04160" y="426720"/>
          <a:ext cx="1805940" cy="1706880"/>
        </a:xfrm>
        <a:prstGeom prst="rect">
          <a:avLst/>
        </a:prstGeom>
      </xdr:spPr>
    </xdr:pic>
    <xdr:clientData/>
  </xdr:twoCellAnchor>
  <xdr:twoCellAnchor>
    <xdr:from>
      <xdr:col>7</xdr:col>
      <xdr:colOff>297180</xdr:colOff>
      <xdr:row>0</xdr:row>
      <xdr:rowOff>0</xdr:rowOff>
    </xdr:from>
    <xdr:to>
      <xdr:col>14</xdr:col>
      <xdr:colOff>601980</xdr:colOff>
      <xdr:row>12</xdr:row>
      <xdr:rowOff>83820</xdr:rowOff>
    </xdr:to>
    <xdr:graphicFrame macro="">
      <xdr:nvGraphicFramePr>
        <xdr:cNvPr id="6" name="Chart 5">
          <a:extLst>
            <a:ext uri="{FF2B5EF4-FFF2-40B4-BE49-F238E27FC236}">
              <a16:creationId xmlns:a16="http://schemas.microsoft.com/office/drawing/2014/main" id="{2ADC9FBC-1E23-455A-B549-A21E8B451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228600</xdr:colOff>
      <xdr:row>0</xdr:row>
      <xdr:rowOff>38100</xdr:rowOff>
    </xdr:from>
    <xdr:to>
      <xdr:col>7</xdr:col>
      <xdr:colOff>167640</xdr:colOff>
      <xdr:row>2</xdr:row>
      <xdr:rowOff>175260</xdr:rowOff>
    </xdr:to>
    <xdr:sp macro="" textlink="">
      <xdr:nvSpPr>
        <xdr:cNvPr id="7" name="TextBox 6">
          <a:extLst>
            <a:ext uri="{FF2B5EF4-FFF2-40B4-BE49-F238E27FC236}">
              <a16:creationId xmlns:a16="http://schemas.microsoft.com/office/drawing/2014/main" id="{1D68CFD5-8915-7B84-86EC-8D823B47D1DC}"/>
            </a:ext>
          </a:extLst>
        </xdr:cNvPr>
        <xdr:cNvSpPr txBox="1"/>
      </xdr:nvSpPr>
      <xdr:spPr>
        <a:xfrm>
          <a:off x="228600" y="38100"/>
          <a:ext cx="4206240" cy="502920"/>
        </a:xfrm>
        <a:prstGeom prst="rect">
          <a:avLst/>
        </a:prstGeom>
        <a:solidFill>
          <a:schemeClr val="lt1"/>
        </a:solidFill>
        <a:ln w="9525" cmpd="sng">
          <a:solidFill>
            <a:schemeClr val="lt1">
              <a:shade val="50000"/>
            </a:schemeClr>
          </a:solidFill>
        </a:ln>
        <a:effectLst>
          <a:glow rad="12700">
            <a:schemeClr val="accent1">
              <a:alpha val="0"/>
            </a:schemeClr>
          </a:glow>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a:solidFill>
                <a:schemeClr val="dk1"/>
              </a:solidFill>
              <a:effectLst/>
              <a:latin typeface="Britannic Bold" panose="020B0903060703020204" pitchFamily="34" charset="0"/>
              <a:ea typeface="+mn-ea"/>
              <a:cs typeface="+mn-cs"/>
            </a:rPr>
            <a:t>Brew Haven Café</a:t>
          </a:r>
          <a:endParaRPr lang="en-AE" sz="2800" b="1">
            <a:latin typeface="Britannic Bold" panose="020B0903060703020204" pitchFamily="34" charset="0"/>
          </a:endParaRPr>
        </a:p>
      </xdr:txBody>
    </xdr:sp>
    <xdr:clientData/>
  </xdr:twoCellAnchor>
  <xdr:twoCellAnchor>
    <xdr:from>
      <xdr:col>0</xdr:col>
      <xdr:colOff>91440</xdr:colOff>
      <xdr:row>3</xdr:row>
      <xdr:rowOff>91440</xdr:rowOff>
    </xdr:from>
    <xdr:to>
      <xdr:col>2</xdr:col>
      <xdr:colOff>121920</xdr:colOff>
      <xdr:row>6</xdr:row>
      <xdr:rowOff>129540</xdr:rowOff>
    </xdr:to>
    <xdr:sp macro="" textlink="Sheet!N21">
      <xdr:nvSpPr>
        <xdr:cNvPr id="8" name="Rectangle: Rounded Corners 7">
          <a:extLst>
            <a:ext uri="{FF2B5EF4-FFF2-40B4-BE49-F238E27FC236}">
              <a16:creationId xmlns:a16="http://schemas.microsoft.com/office/drawing/2014/main" id="{3C10FA58-AC58-8D30-2ECA-A9C16CFBC3EF}"/>
            </a:ext>
          </a:extLst>
        </xdr:cNvPr>
        <xdr:cNvSpPr/>
      </xdr:nvSpPr>
      <xdr:spPr>
        <a:xfrm>
          <a:off x="91440" y="640080"/>
          <a:ext cx="1249680" cy="58674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EFC8C49-90AA-4A6A-807B-15B0DCF0BF90}" type="TxLink">
            <a:rPr lang="en-US" sz="1200" b="1" i="0" u="none" strike="noStrike">
              <a:solidFill>
                <a:srgbClr val="000000"/>
              </a:solidFill>
              <a:latin typeface="Calibri"/>
              <a:ea typeface="Calibri"/>
              <a:cs typeface="Calibri"/>
            </a:rPr>
            <a:pPr algn="ctr"/>
            <a:t>1561687.71</a:t>
          </a:fld>
          <a:endParaRPr lang="en-AE" sz="1200" b="1"/>
        </a:p>
      </xdr:txBody>
    </xdr:sp>
    <xdr:clientData/>
  </xdr:twoCellAnchor>
  <xdr:twoCellAnchor>
    <xdr:from>
      <xdr:col>0</xdr:col>
      <xdr:colOff>99060</xdr:colOff>
      <xdr:row>7</xdr:row>
      <xdr:rowOff>99060</xdr:rowOff>
    </xdr:from>
    <xdr:to>
      <xdr:col>2</xdr:col>
      <xdr:colOff>99060</xdr:colOff>
      <xdr:row>10</xdr:row>
      <xdr:rowOff>129540</xdr:rowOff>
    </xdr:to>
    <xdr:sp macro="" textlink="Sheet!N24">
      <xdr:nvSpPr>
        <xdr:cNvPr id="9" name="Rectangle: Rounded Corners 8">
          <a:extLst>
            <a:ext uri="{FF2B5EF4-FFF2-40B4-BE49-F238E27FC236}">
              <a16:creationId xmlns:a16="http://schemas.microsoft.com/office/drawing/2014/main" id="{BCC06856-FD3F-69AE-92E0-47491E3EBE0E}"/>
            </a:ext>
          </a:extLst>
        </xdr:cNvPr>
        <xdr:cNvSpPr/>
      </xdr:nvSpPr>
      <xdr:spPr>
        <a:xfrm>
          <a:off x="99060" y="1379220"/>
          <a:ext cx="1219200" cy="57912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B69EFA3-7C46-4706-A874-829464C96286}" type="TxLink">
            <a:rPr lang="en-US" sz="1200" b="1" i="0" u="none" strike="noStrike">
              <a:solidFill>
                <a:srgbClr val="000000"/>
              </a:solidFill>
              <a:latin typeface="Calibri"/>
              <a:ea typeface="Calibri"/>
              <a:cs typeface="Calibri"/>
            </a:rPr>
            <a:t>497658.35</a:t>
          </a:fld>
          <a:endParaRPr lang="en-AE" sz="1200" b="1"/>
        </a:p>
      </xdr:txBody>
    </xdr:sp>
    <xdr:clientData/>
  </xdr:twoCellAnchor>
  <xdr:twoCellAnchor>
    <xdr:from>
      <xdr:col>2</xdr:col>
      <xdr:colOff>205740</xdr:colOff>
      <xdr:row>3</xdr:row>
      <xdr:rowOff>99060</xdr:rowOff>
    </xdr:from>
    <xdr:to>
      <xdr:col>4</xdr:col>
      <xdr:colOff>243840</xdr:colOff>
      <xdr:row>6</xdr:row>
      <xdr:rowOff>137160</xdr:rowOff>
    </xdr:to>
    <xdr:sp macro="" textlink="Sheet!N23">
      <xdr:nvSpPr>
        <xdr:cNvPr id="10" name="Rectangle: Rounded Corners 9">
          <a:extLst>
            <a:ext uri="{FF2B5EF4-FFF2-40B4-BE49-F238E27FC236}">
              <a16:creationId xmlns:a16="http://schemas.microsoft.com/office/drawing/2014/main" id="{3BD167E8-2CC5-738B-5DB4-CACCFDEA9A40}"/>
            </a:ext>
          </a:extLst>
        </xdr:cNvPr>
        <xdr:cNvSpPr/>
      </xdr:nvSpPr>
      <xdr:spPr>
        <a:xfrm>
          <a:off x="1424940" y="647700"/>
          <a:ext cx="1257300" cy="58674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A71DD8A6-374B-4C75-A3F1-C94F03D63894}" type="TxLink">
            <a:rPr lang="en-US" sz="1200" b="1" i="0" u="none" strike="noStrike">
              <a:solidFill>
                <a:srgbClr val="000000"/>
              </a:solidFill>
              <a:latin typeface="Calibri"/>
              <a:ea typeface="Calibri"/>
              <a:cs typeface="Calibri"/>
            </a:rPr>
            <a:t>9939</a:t>
          </a:fld>
          <a:endParaRPr lang="en-AE" sz="1200" b="1"/>
        </a:p>
      </xdr:txBody>
    </xdr:sp>
    <xdr:clientData/>
  </xdr:twoCellAnchor>
  <xdr:twoCellAnchor>
    <xdr:from>
      <xdr:col>2</xdr:col>
      <xdr:colOff>190500</xdr:colOff>
      <xdr:row>7</xdr:row>
      <xdr:rowOff>83820</xdr:rowOff>
    </xdr:from>
    <xdr:to>
      <xdr:col>4</xdr:col>
      <xdr:colOff>259080</xdr:colOff>
      <xdr:row>10</xdr:row>
      <xdr:rowOff>129540</xdr:rowOff>
    </xdr:to>
    <xdr:sp macro="" textlink="Sheet!N25">
      <xdr:nvSpPr>
        <xdr:cNvPr id="11" name="Rectangle: Rounded Corners 10">
          <a:extLst>
            <a:ext uri="{FF2B5EF4-FFF2-40B4-BE49-F238E27FC236}">
              <a16:creationId xmlns:a16="http://schemas.microsoft.com/office/drawing/2014/main" id="{AB5B9E92-464B-AEE7-6D70-38729ABA12FD}"/>
            </a:ext>
          </a:extLst>
        </xdr:cNvPr>
        <xdr:cNvSpPr/>
      </xdr:nvSpPr>
      <xdr:spPr>
        <a:xfrm>
          <a:off x="1409700" y="1363980"/>
          <a:ext cx="1287780" cy="59436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6DF1B8A-57CC-47B4-90CF-9A28A18B3A40}" type="TxLink">
            <a:rPr lang="en-US" sz="1200" b="1" i="0" u="none" strike="noStrike">
              <a:solidFill>
                <a:srgbClr val="000000"/>
              </a:solidFill>
              <a:latin typeface="Calibri"/>
              <a:ea typeface="Calibri"/>
              <a:cs typeface="Calibri"/>
            </a:rPr>
            <a:t>10821.3987</a:t>
          </a:fld>
          <a:endParaRPr lang="en-AE" sz="1200" b="1"/>
        </a:p>
      </xdr:txBody>
    </xdr:sp>
    <xdr:clientData/>
  </xdr:twoCellAnchor>
  <xdr:twoCellAnchor>
    <xdr:from>
      <xdr:col>0</xdr:col>
      <xdr:colOff>304800</xdr:colOff>
      <xdr:row>3</xdr:row>
      <xdr:rowOff>121920</xdr:rowOff>
    </xdr:from>
    <xdr:to>
      <xdr:col>2</xdr:col>
      <xdr:colOff>99060</xdr:colOff>
      <xdr:row>5</xdr:row>
      <xdr:rowOff>7620</xdr:rowOff>
    </xdr:to>
    <xdr:sp macro="" textlink="">
      <xdr:nvSpPr>
        <xdr:cNvPr id="12" name="TextBox 11">
          <a:extLst>
            <a:ext uri="{FF2B5EF4-FFF2-40B4-BE49-F238E27FC236}">
              <a16:creationId xmlns:a16="http://schemas.microsoft.com/office/drawing/2014/main" id="{8D302610-8B7B-35BF-FC9B-927BB61E1F95}"/>
            </a:ext>
          </a:extLst>
        </xdr:cNvPr>
        <xdr:cNvSpPr txBox="1"/>
      </xdr:nvSpPr>
      <xdr:spPr>
        <a:xfrm>
          <a:off x="304800" y="670560"/>
          <a:ext cx="1013460" cy="251460"/>
        </a:xfrm>
        <a:prstGeom prst="rect">
          <a:avLst/>
        </a:prstGeom>
        <a:solidFill>
          <a:schemeClr val="lt1"/>
        </a:solidFill>
        <a:ln w="9525" cmpd="sng">
          <a:solidFill>
            <a:schemeClr val="lt1">
              <a:shade val="50000"/>
            </a:schemeClr>
          </a:solid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050" baseline="0">
              <a:solidFill>
                <a:schemeClr val="dk1"/>
              </a:solidFill>
              <a:latin typeface="Britannic Bold" panose="020B0903060703020204" pitchFamily="34" charset="0"/>
              <a:ea typeface="+mn-ea"/>
              <a:cs typeface="+mn-cs"/>
            </a:rPr>
            <a:t>Total</a:t>
          </a:r>
          <a:r>
            <a:rPr lang="en-AE" sz="1050" baseline="0">
              <a:latin typeface="Arial Black" panose="020B0A04020102020204" pitchFamily="34" charset="0"/>
            </a:rPr>
            <a:t> </a:t>
          </a:r>
          <a:r>
            <a:rPr lang="en-AE" sz="1050" baseline="0">
              <a:latin typeface="Britannic Bold" panose="020B0903060703020204" pitchFamily="34" charset="0"/>
            </a:rPr>
            <a:t>Sales</a:t>
          </a:r>
          <a:endParaRPr lang="en-AE" sz="1050">
            <a:latin typeface="Britannic Bold" panose="020B0903060703020204" pitchFamily="34" charset="0"/>
          </a:endParaRPr>
        </a:p>
      </xdr:txBody>
    </xdr:sp>
    <xdr:clientData/>
  </xdr:twoCellAnchor>
  <xdr:twoCellAnchor>
    <xdr:from>
      <xdr:col>2</xdr:col>
      <xdr:colOff>15240</xdr:colOff>
      <xdr:row>4</xdr:row>
      <xdr:rowOff>0</xdr:rowOff>
    </xdr:from>
    <xdr:to>
      <xdr:col>4</xdr:col>
      <xdr:colOff>449580</xdr:colOff>
      <xdr:row>5</xdr:row>
      <xdr:rowOff>83820</xdr:rowOff>
    </xdr:to>
    <xdr:sp macro="" textlink="">
      <xdr:nvSpPr>
        <xdr:cNvPr id="13" name="TextBox 12">
          <a:extLst>
            <a:ext uri="{FF2B5EF4-FFF2-40B4-BE49-F238E27FC236}">
              <a16:creationId xmlns:a16="http://schemas.microsoft.com/office/drawing/2014/main" id="{E937069D-3DD6-64BA-1ED8-64660CF8BACB}"/>
            </a:ext>
          </a:extLst>
        </xdr:cNvPr>
        <xdr:cNvSpPr txBox="1"/>
      </xdr:nvSpPr>
      <xdr:spPr>
        <a:xfrm>
          <a:off x="1234440" y="731520"/>
          <a:ext cx="1653540" cy="266700"/>
        </a:xfrm>
        <a:prstGeom prst="rect">
          <a:avLst/>
        </a:prstGeom>
        <a:solidFill>
          <a:schemeClr val="lt1"/>
        </a:solidFill>
        <a:ln w="9525" cmpd="sng">
          <a:solidFill>
            <a:schemeClr val="lt1">
              <a:shade val="50000"/>
            </a:schemeClr>
          </a:solid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050" baseline="0">
              <a:solidFill>
                <a:schemeClr val="dk1"/>
              </a:solidFill>
              <a:latin typeface="Britannic Bold" panose="020B0903060703020204" pitchFamily="34" charset="0"/>
              <a:ea typeface="+mn-ea"/>
              <a:cs typeface="+mn-cs"/>
            </a:rPr>
            <a:t>Total</a:t>
          </a:r>
          <a:r>
            <a:rPr lang="en-AE" sz="1100" b="1" baseline="0"/>
            <a:t> </a:t>
          </a:r>
          <a:r>
            <a:rPr lang="en-AE" sz="1050" baseline="0">
              <a:solidFill>
                <a:schemeClr val="dk1"/>
              </a:solidFill>
              <a:latin typeface="Britannic Bold" panose="020B0903060703020204" pitchFamily="34" charset="0"/>
              <a:ea typeface="+mn-ea"/>
              <a:cs typeface="+mn-cs"/>
            </a:rPr>
            <a:t>conversation</a:t>
          </a:r>
        </a:p>
      </xdr:txBody>
    </xdr:sp>
    <xdr:clientData/>
  </xdr:twoCellAnchor>
  <xdr:twoCellAnchor>
    <xdr:from>
      <xdr:col>0</xdr:col>
      <xdr:colOff>129540</xdr:colOff>
      <xdr:row>7</xdr:row>
      <xdr:rowOff>152400</xdr:rowOff>
    </xdr:from>
    <xdr:to>
      <xdr:col>2</xdr:col>
      <xdr:colOff>121920</xdr:colOff>
      <xdr:row>9</xdr:row>
      <xdr:rowOff>60960</xdr:rowOff>
    </xdr:to>
    <xdr:sp macro="" textlink="">
      <xdr:nvSpPr>
        <xdr:cNvPr id="14" name="TextBox 13">
          <a:extLst>
            <a:ext uri="{FF2B5EF4-FFF2-40B4-BE49-F238E27FC236}">
              <a16:creationId xmlns:a16="http://schemas.microsoft.com/office/drawing/2014/main" id="{8A5A40BA-4B5E-33E7-E6EF-C9552BF33C35}"/>
            </a:ext>
          </a:extLst>
        </xdr:cNvPr>
        <xdr:cNvSpPr txBox="1"/>
      </xdr:nvSpPr>
      <xdr:spPr>
        <a:xfrm>
          <a:off x="129540" y="1432560"/>
          <a:ext cx="1211580" cy="274320"/>
        </a:xfrm>
        <a:prstGeom prst="rect">
          <a:avLst/>
        </a:prstGeom>
        <a:solidFill>
          <a:schemeClr val="lt1"/>
        </a:solidFill>
        <a:ln w="9525" cmpd="sng">
          <a:solidFill>
            <a:schemeClr val="lt1">
              <a:shade val="50000"/>
            </a:schemeClr>
          </a:solid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b="0">
              <a:latin typeface="Britannic Bold" panose="020B0903060703020204" pitchFamily="34" charset="0"/>
            </a:rPr>
            <a:t>Total Ads Spend</a:t>
          </a:r>
        </a:p>
      </xdr:txBody>
    </xdr:sp>
    <xdr:clientData/>
  </xdr:twoCellAnchor>
  <xdr:twoCellAnchor>
    <xdr:from>
      <xdr:col>2</xdr:col>
      <xdr:colOff>472440</xdr:colOff>
      <xdr:row>7</xdr:row>
      <xdr:rowOff>152400</xdr:rowOff>
    </xdr:from>
    <xdr:to>
      <xdr:col>4</xdr:col>
      <xdr:colOff>175260</xdr:colOff>
      <xdr:row>9</xdr:row>
      <xdr:rowOff>30480</xdr:rowOff>
    </xdr:to>
    <xdr:sp macro="" textlink="">
      <xdr:nvSpPr>
        <xdr:cNvPr id="15" name="TextBox 14">
          <a:extLst>
            <a:ext uri="{FF2B5EF4-FFF2-40B4-BE49-F238E27FC236}">
              <a16:creationId xmlns:a16="http://schemas.microsoft.com/office/drawing/2014/main" id="{5CE6A1CA-E94B-1963-86E5-26220DACE681}"/>
            </a:ext>
          </a:extLst>
        </xdr:cNvPr>
        <xdr:cNvSpPr txBox="1"/>
      </xdr:nvSpPr>
      <xdr:spPr>
        <a:xfrm>
          <a:off x="1691640" y="1432560"/>
          <a:ext cx="922020" cy="243840"/>
        </a:xfrm>
        <a:prstGeom prst="rect">
          <a:avLst/>
        </a:prstGeom>
        <a:solidFill>
          <a:schemeClr val="lt1"/>
        </a:solidFill>
        <a:ln w="9525" cmpd="sng">
          <a:solidFill>
            <a:schemeClr val="lt1">
              <a:shade val="50000"/>
            </a:schemeClr>
          </a:solid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b="0">
              <a:latin typeface="Britannic Bold" panose="020B0903060703020204" pitchFamily="34" charset="0"/>
            </a:rPr>
            <a:t>Total ROI</a:t>
          </a:r>
        </a:p>
      </xdr:txBody>
    </xdr:sp>
    <xdr:clientData/>
  </xdr:twoCellAnchor>
  <xdr:twoCellAnchor>
    <xdr:from>
      <xdr:col>15</xdr:col>
      <xdr:colOff>0</xdr:colOff>
      <xdr:row>12</xdr:row>
      <xdr:rowOff>76200</xdr:rowOff>
    </xdr:from>
    <xdr:to>
      <xdr:col>22</xdr:col>
      <xdr:colOff>76200</xdr:colOff>
      <xdr:row>27</xdr:row>
      <xdr:rowOff>60960</xdr:rowOff>
    </xdr:to>
    <xdr:graphicFrame macro="">
      <xdr:nvGraphicFramePr>
        <xdr:cNvPr id="16" name="Chart 15">
          <a:extLst>
            <a:ext uri="{FF2B5EF4-FFF2-40B4-BE49-F238E27FC236}">
              <a16:creationId xmlns:a16="http://schemas.microsoft.com/office/drawing/2014/main" id="{7ED5BBF4-FC1B-4E5E-BF56-7159130B5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601980</xdr:colOff>
      <xdr:row>0</xdr:row>
      <xdr:rowOff>0</xdr:rowOff>
    </xdr:from>
    <xdr:to>
      <xdr:col>22</xdr:col>
      <xdr:colOff>30480</xdr:colOff>
      <xdr:row>12</xdr:row>
      <xdr:rowOff>76200</xdr:rowOff>
    </xdr:to>
    <xdr:graphicFrame macro="">
      <xdr:nvGraphicFramePr>
        <xdr:cNvPr id="17" name="Chart 16">
          <a:extLst>
            <a:ext uri="{FF2B5EF4-FFF2-40B4-BE49-F238E27FC236}">
              <a16:creationId xmlns:a16="http://schemas.microsoft.com/office/drawing/2014/main" id="{13D55275-9919-41C1-ACD3-95C955CB4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7620</xdr:colOff>
      <xdr:row>0</xdr:row>
      <xdr:rowOff>7621</xdr:rowOff>
    </xdr:from>
    <xdr:to>
      <xdr:col>24</xdr:col>
      <xdr:colOff>160020</xdr:colOff>
      <xdr:row>7</xdr:row>
      <xdr:rowOff>137161</xdr:rowOff>
    </xdr:to>
    <mc:AlternateContent xmlns:mc="http://schemas.openxmlformats.org/markup-compatibility/2006">
      <mc:Choice xmlns:a14="http://schemas.microsoft.com/office/drawing/2010/main" Requires="a14">
        <xdr:graphicFrame macro="">
          <xdr:nvGraphicFramePr>
            <xdr:cNvPr id="19" name="Channel">
              <a:extLst>
                <a:ext uri="{FF2B5EF4-FFF2-40B4-BE49-F238E27FC236}">
                  <a16:creationId xmlns:a16="http://schemas.microsoft.com/office/drawing/2014/main" id="{C5B83353-E09B-E11A-A2DB-4287FF2CB76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3453745" y="7621"/>
              <a:ext cx="1374775" cy="140747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7620</xdr:colOff>
      <xdr:row>12</xdr:row>
      <xdr:rowOff>91440</xdr:rowOff>
    </xdr:from>
    <xdr:to>
      <xdr:col>24</xdr:col>
      <xdr:colOff>190500</xdr:colOff>
      <xdr:row>20</xdr:row>
      <xdr:rowOff>83819</xdr:rowOff>
    </xdr:to>
    <mc:AlternateContent xmlns:mc="http://schemas.openxmlformats.org/markup-compatibility/2006">
      <mc:Choice xmlns:a14="http://schemas.microsoft.com/office/drawing/2010/main" Requires="a14">
        <xdr:graphicFrame macro="">
          <xdr:nvGraphicFramePr>
            <xdr:cNvPr id="21" name="Date (Month)">
              <a:extLst>
                <a:ext uri="{FF2B5EF4-FFF2-40B4-BE49-F238E27FC236}">
                  <a16:creationId xmlns:a16="http://schemas.microsoft.com/office/drawing/2014/main" id="{B7975C50-759D-F96B-A501-27EE7D42FD9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3453745" y="2282190"/>
              <a:ext cx="1405255" cy="145287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15240</xdr:colOff>
      <xdr:row>7</xdr:row>
      <xdr:rowOff>129541</xdr:rowOff>
    </xdr:from>
    <xdr:to>
      <xdr:col>24</xdr:col>
      <xdr:colOff>167640</xdr:colOff>
      <xdr:row>12</xdr:row>
      <xdr:rowOff>83821</xdr:rowOff>
    </xdr:to>
    <mc:AlternateContent xmlns:mc="http://schemas.openxmlformats.org/markup-compatibility/2006">
      <mc:Choice xmlns:a14="http://schemas.microsoft.com/office/drawing/2010/main" Requires="a14">
        <xdr:graphicFrame macro="">
          <xdr:nvGraphicFramePr>
            <xdr:cNvPr id="22" name="Customer Type">
              <a:extLst>
                <a:ext uri="{FF2B5EF4-FFF2-40B4-BE49-F238E27FC236}">
                  <a16:creationId xmlns:a16="http://schemas.microsoft.com/office/drawing/2014/main" id="{EA2C2366-3BA2-349A-6055-C60A7EC9749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3461365" y="1407479"/>
              <a:ext cx="1374775" cy="86709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7620</xdr:colOff>
      <xdr:row>20</xdr:row>
      <xdr:rowOff>68580</xdr:rowOff>
    </xdr:from>
    <xdr:to>
      <xdr:col>24</xdr:col>
      <xdr:colOff>175260</xdr:colOff>
      <xdr:row>27</xdr:row>
      <xdr:rowOff>30479</xdr:rowOff>
    </xdr:to>
    <mc:AlternateContent xmlns:mc="http://schemas.openxmlformats.org/markup-compatibility/2006">
      <mc:Choice xmlns:a14="http://schemas.microsoft.com/office/drawing/2010/main" Requires="a14">
        <xdr:graphicFrame macro="">
          <xdr:nvGraphicFramePr>
            <xdr:cNvPr id="24" name="Service Type">
              <a:extLst>
                <a:ext uri="{FF2B5EF4-FFF2-40B4-BE49-F238E27FC236}">
                  <a16:creationId xmlns:a16="http://schemas.microsoft.com/office/drawing/2014/main" id="{6E8FD8D5-6DBE-F781-EAE3-830EAC0C4A68}"/>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dr:sp macro="" textlink="">
          <xdr:nvSpPr>
            <xdr:cNvPr id="0" name=""/>
            <xdr:cNvSpPr>
              <a:spLocks noTextEdit="1"/>
            </xdr:cNvSpPr>
          </xdr:nvSpPr>
          <xdr:spPr>
            <a:xfrm>
              <a:off x="13453745" y="3719830"/>
              <a:ext cx="1390015" cy="123983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0.635</cdr:x>
      <cdr:y>0.04167</cdr:y>
    </cdr:from>
    <cdr:to>
      <cdr:x>0.77833</cdr:x>
      <cdr:y>0.28056</cdr:y>
    </cdr:to>
    <cdr:pic>
      <cdr:nvPicPr>
        <cdr:cNvPr id="3" name="Graphic 2" descr="Eyes with solid fill">
          <a:extLst xmlns:a="http://schemas.openxmlformats.org/drawingml/2006/main">
            <a:ext uri="{FF2B5EF4-FFF2-40B4-BE49-F238E27FC236}">
              <a16:creationId xmlns:a16="http://schemas.microsoft.com/office/drawing/2014/main" id="{0CC4236D-FE80-DD1B-78B3-46AFC412750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903220" y="114300"/>
          <a:ext cx="655320" cy="65532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0.695</cdr:x>
      <cdr:y>0.08889</cdr:y>
    </cdr:from>
    <cdr:to>
      <cdr:x>0.78833</cdr:x>
      <cdr:y>0.24444</cdr:y>
    </cdr:to>
    <cdr:pic>
      <cdr:nvPicPr>
        <cdr:cNvPr id="3" name="Graphic 2" descr="Chat with solid fill">
          <a:extLst xmlns:a="http://schemas.openxmlformats.org/drawingml/2006/main">
            <a:ext uri="{FF2B5EF4-FFF2-40B4-BE49-F238E27FC236}">
              <a16:creationId xmlns:a16="http://schemas.microsoft.com/office/drawing/2014/main" id="{4DC6A73E-811C-433A-4DE6-C972A4FF314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177540" y="243840"/>
          <a:ext cx="426720" cy="42672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0.71667</cdr:x>
      <cdr:y>0.13712</cdr:y>
    </cdr:from>
    <cdr:to>
      <cdr:x>0.79333</cdr:x>
      <cdr:y>0.29097</cdr:y>
    </cdr:to>
    <cdr:pic>
      <cdr:nvPicPr>
        <cdr:cNvPr id="3" name="Graphic 2" descr="Earth globe: Americas with solid fill">
          <a:extLst xmlns:a="http://schemas.openxmlformats.org/drawingml/2006/main">
            <a:ext uri="{FF2B5EF4-FFF2-40B4-BE49-F238E27FC236}">
              <a16:creationId xmlns:a16="http://schemas.microsoft.com/office/drawing/2014/main" id="{2EF6EF06-82F4-B8BF-DB29-547303F658D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276600" y="312420"/>
          <a:ext cx="350520" cy="3505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0370373" backgroundQuery="1" createdVersion="8" refreshedVersion="8" minRefreshableVersion="3" recordCount="0" supportSubquery="1" supportAdvancedDrill="1" xr:uid="{7013F895-FDA2-45E3-A1F5-F4316EAE01ED}">
  <cacheSource type="external" connectionId="2"/>
  <cacheFields count="3">
    <cacheField name="[Measures].[Sum of ROI]" caption="Sum of ROI" numFmtId="0" hierarchy="29" level="32767"/>
    <cacheField name="[Sheet1].[Service Type].[Service Type]" caption="Service Type" numFmtId="0" hierarchy="13" level="1">
      <sharedItems count="3">
        <s v="Premium"/>
        <s v="Seasonal"/>
        <s v="Standard"/>
      </sharedItems>
    </cacheField>
    <cacheField name="[Range].[Channel].[Channel]" caption="Channel" numFmtId="0" hierarchy="6" level="1">
      <sharedItems containsSemiMixedTypes="0" containsNonDate="0" containsString="0"/>
    </cacheField>
  </cacheFields>
  <cacheHierarchies count="31">
    <cacheHierarchy uniqueName="[Range].[Date]" caption="Date" attribute="1" time="1" defaultMemberUniqueName="[Range].[Date].[All]" allUniqueName="[Range].[Date].[All]" dimensionUniqueName="[Range]" displayFolder="" count="2" memberValueDatatype="7" unbalanced="0"/>
    <cacheHierarchy uniqueName="[Range].[Revenue]" caption="Revenue" attribute="1" defaultMemberUniqueName="[Range].[Revenue].[All]" allUniqueName="[Range].[Revenue].[All]" dimensionUniqueName="[Range]" displayFolder="" count="2" memberValueDatatype="5" unbalanced="0"/>
    <cacheHierarchy uniqueName="[Range].[Ad Spend]" caption="Ad Spend" attribute="1" defaultMemberUniqueName="[Range].[Ad Spend].[All]" allUniqueName="[Range].[Ad Spend].[All]" dimensionUniqueName="[Range]" displayFolder="" count="2" memberValueDatatype="5" unbalanced="0"/>
    <cacheHierarchy uniqueName="[Range].[Conversions]" caption="Conversions" attribute="1" defaultMemberUniqueName="[Range].[Conversions].[All]" allUniqueName="[Range].[Conversions].[All]" dimensionUniqueName="[Range]" displayFolder="" count="2" memberValueDatatype="20" unbalanced="0"/>
    <cacheHierarchy uniqueName="[Range].[Service Type]" caption="Service Type" attribute="1" defaultMemberUniqueName="[Range].[Service Type].[All]" allUniqueName="[Range].[Service Type].[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Sheet1].[Date]" caption="Date" attribute="1" time="1" defaultMemberUniqueName="[Sheet1].[Date].[All]" allUniqueName="[Sheet1].[Date].[All]" dimensionUniqueName="[Sheet1]" displayFolder="" count="2" memberValueDatatype="7" unbalanced="0"/>
    <cacheHierarchy uniqueName="[Sheet1].[Revenue]" caption="Revenue" attribute="1" defaultMemberUniqueName="[Sheet1].[Revenue].[All]" allUniqueName="[Sheet1].[Revenue].[All]" dimensionUniqueName="[Sheet1]" displayFolder="" count="2" memberValueDatatype="5" unbalanced="0"/>
    <cacheHierarchy uniqueName="[Sheet1].[Ad Spend]" caption="Ad Spend" attribute="1" defaultMemberUniqueName="[Sheet1].[Ad Spend].[All]" allUniqueName="[Sheet1].[Ad Spend].[All]" dimensionUniqueName="[Sheet1]" displayFolder="" count="2" memberValueDatatype="5" unbalanced="0"/>
    <cacheHierarchy uniqueName="[Sheet1].[Conversions]" caption="Conversions" attribute="1" defaultMemberUniqueName="[Sheet1].[Conversions].[All]" allUniqueName="[Sheet1].[Conversions].[All]" dimensionUniqueName="[Sheet1]" displayFolder="" count="2" memberValueDatatype="20" unbalanced="0"/>
    <cacheHierarchy uniqueName="[Sheet1].[Service Type]" caption="Service Type" attribute="1" defaultMemberUniqueName="[Sheet1].[Service Type].[All]" allUniqueName="[Sheet1].[Service Type].[All]" dimensionUniqueName="[Sheet1]" displayFolder="" count="2" memberValueDatatype="130" unbalanced="0">
      <fieldsUsage count="2">
        <fieldUsage x="-1"/>
        <fieldUsage x="1"/>
      </fieldsUsage>
    </cacheHierarchy>
    <cacheHierarchy uniqueName="[Sheet1].[Customer Type]" caption="Customer Type" attribute="1" defaultMemberUniqueName="[Sheet1].[Customer Type].[All]" allUniqueName="[Sheet1].[Customer Type].[All]" dimensionUniqueName="[Sheet1]" displayFolder="" count="2" memberValueDatatype="130" unbalanced="0"/>
    <cacheHierarchy uniqueName="[Sheet1].[Channel]" caption="Channel" attribute="1" defaultMemberUniqueName="[Sheet1].[Channel].[All]" allUniqueName="[Sheet1].[Channel].[All]" dimensionUniqueName="[Sheet1]" displayFolder="" count="2" memberValueDatatype="130" unbalanced="0"/>
    <cacheHierarchy uniqueName="[Sheet1].[Region]" caption="Region" attribute="1" defaultMemberUniqueName="[Sheet1].[Region].[All]" allUniqueName="[Sheet1].[Region].[All]" dimensionUniqueName="[Sheet1]" displayFolder="" count="2" memberValueDatatype="130" unbalanced="0"/>
    <cacheHierarchy uniqueName="[Sheet1].[Profit]" caption="Profit" attribute="1" defaultMemberUniqueName="[Sheet1].[Profit].[All]" allUniqueName="[Sheet1].[Profit].[All]" dimensionUniqueName="[Sheet1]" displayFolder="" count="2" memberValueDatatype="5" unbalanced="0"/>
    <cacheHierarchy uniqueName="[Sheet1].[ROI]" caption="ROI" attribute="1" defaultMemberUniqueName="[Sheet1].[ROI].[All]" allUniqueName="[Sheet1].[ROI].[All]" dimensionUniqueName="[Sheet1]" displayFolder="" count="2" memberValueDatatype="5"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hidden="1">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1412036" backgroundQuery="1" createdVersion="8" refreshedVersion="8" minRefreshableVersion="3" recordCount="0" supportSubquery="1" supportAdvancedDrill="1" xr:uid="{634DE0E0-893A-44B4-BE04-BB1B87844C13}">
  <cacheSource type="external" connectionId="2"/>
  <cacheFields count="4">
    <cacheField name="[Range].[Date].[Date]" caption="Date" numFmtId="0" level="1">
      <sharedItems containsSemiMixedTypes="0" containsNonDate="0" containsDate="1" containsString="0" minDate="2024-01-01T00:00:00" maxDate="2024-05-01T00:00:00" count="12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Range].[Date (Month)].[Date (Month)]" caption="Date (Month)" numFmtId="0" hierarchy="8" level="1">
      <sharedItems count="4">
        <s v="Jan"/>
        <s v="Feb"/>
        <s v="Mar"/>
        <s v="Apr"/>
      </sharedItems>
    </cacheField>
    <cacheField name="[Measures].[Sum of Ad Spend]" caption="Sum of Ad Spend" numFmtId="0" hierarchy="23" level="32767"/>
    <cacheField name="[Range].[Channel].[Channel]" caption="Channel" numFmtId="0" hierarchy="6" level="1">
      <sharedItems containsSemiMixedTypes="0" containsNonDate="0" containsString="0"/>
    </cacheField>
  </cacheFields>
  <cacheHierarchies count="31">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0"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hidden="1">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2337959" backgroundQuery="1" createdVersion="8" refreshedVersion="8" minRefreshableVersion="3" recordCount="0" supportSubquery="1" supportAdvancedDrill="1" xr:uid="{B1049C8F-B513-4920-BC76-7F0D19DE92BC}">
  <cacheSource type="external" connectionId="2"/>
  <cacheFields count="4">
    <cacheField name="[Sheet1].[Ad Spend].[Ad Spend]" caption="Ad Spend" numFmtId="0" hierarchy="11" level="1">
      <sharedItems containsSemiMixedTypes="0" containsString="0" containsNumber="1" minValue="10.02" maxValue="499.89" count="1961">
        <n v="10.02"/>
        <n v="10.14"/>
        <n v="10.28"/>
        <n v="10.55"/>
        <n v="10.9"/>
        <n v="10.91"/>
        <n v="10.97"/>
        <n v="11.07"/>
        <n v="11.09"/>
        <n v="11.5"/>
        <n v="11.55"/>
        <n v="11.76"/>
        <n v="12.33"/>
        <n v="12.39"/>
        <n v="12.71"/>
        <n v="12.75"/>
        <n v="12.83"/>
        <n v="12.88"/>
        <n v="13.02"/>
        <n v="13.65"/>
        <n v="13.81"/>
        <n v="14.13"/>
        <n v="14.19"/>
        <n v="14.23"/>
        <n v="14.48"/>
        <n v="14.61"/>
        <n v="14.65"/>
        <n v="14.69"/>
        <n v="14.76"/>
        <n v="14.99"/>
        <n v="15.66"/>
        <n v="15.67"/>
        <n v="16.36"/>
        <n v="16.97"/>
        <n v="17.3"/>
        <n v="17.350000000000001"/>
        <n v="17.55"/>
        <n v="17.8"/>
        <n v="17.829999999999998"/>
        <n v="17.93"/>
        <n v="18.13"/>
        <n v="18.2"/>
        <n v="18.47"/>
        <n v="18.82"/>
        <n v="18.88"/>
        <n v="18.940000000000001"/>
        <n v="19.100000000000001"/>
        <n v="19.489999999999998"/>
        <n v="20.04"/>
        <n v="20.309999999999999"/>
        <n v="20.38"/>
        <n v="20.74"/>
        <n v="20.77"/>
        <n v="21.21"/>
        <n v="21.28"/>
        <n v="21.3"/>
        <n v="21.34"/>
        <n v="21.51"/>
        <n v="22.19"/>
        <n v="22.24"/>
        <n v="22.27"/>
        <n v="22.28"/>
        <n v="22.57"/>
        <n v="22.84"/>
        <n v="23.03"/>
        <n v="23.52"/>
        <n v="24.09"/>
        <n v="24.23"/>
        <n v="24.58"/>
        <n v="24.65"/>
        <n v="24.7"/>
        <n v="24.97"/>
        <n v="25.19"/>
        <n v="25.32"/>
        <n v="25.37"/>
        <n v="25.53"/>
        <n v="25.71"/>
        <n v="26.09"/>
        <n v="26.22"/>
        <n v="26.61"/>
        <n v="26.8"/>
        <n v="26.9"/>
        <n v="26.97"/>
        <n v="27.19"/>
        <n v="27.21"/>
        <n v="27.44"/>
        <n v="27.69"/>
        <n v="28.78"/>
        <n v="28.95"/>
        <n v="29"/>
        <n v="29.11"/>
        <n v="29.21"/>
        <n v="29.34"/>
        <n v="29.4"/>
        <n v="29.9"/>
        <n v="30.09"/>
        <n v="30.86"/>
        <n v="31.08"/>
        <n v="31.31"/>
        <n v="31.6"/>
        <n v="32.31"/>
        <n v="32.369999999999997"/>
        <n v="32.61"/>
        <n v="32.97"/>
        <n v="33"/>
        <n v="33.07"/>
        <n v="33.43"/>
        <n v="33.97"/>
        <n v="34.299999999999997"/>
        <n v="34.75"/>
        <n v="34.94"/>
        <n v="35.22"/>
        <n v="35.24"/>
        <n v="35.4"/>
        <n v="35.43"/>
        <n v="35.47"/>
        <n v="36.020000000000003"/>
        <n v="36.47"/>
        <n v="36.54"/>
        <n v="36.79"/>
        <n v="36.950000000000003"/>
        <n v="37.369999999999997"/>
        <n v="37.43"/>
        <n v="37.54"/>
        <n v="38.020000000000003"/>
        <n v="38.28"/>
        <n v="38.4"/>
        <n v="38.56"/>
        <n v="38.57"/>
        <n v="38.9"/>
        <n v="39.01"/>
        <n v="39.56"/>
        <n v="40.1"/>
        <n v="40.46"/>
        <n v="40.729999999999997"/>
        <n v="41.02"/>
        <n v="41.07"/>
        <n v="41.77"/>
        <n v="42.34"/>
        <n v="42.54"/>
        <n v="42.85"/>
        <n v="42.94"/>
        <n v="43.2"/>
        <n v="43.23"/>
        <n v="43.63"/>
        <n v="43.71"/>
        <n v="43.78"/>
        <n v="44.03"/>
        <n v="44.2"/>
        <n v="44.33"/>
        <n v="44.43"/>
        <n v="44.5"/>
        <n v="44.99"/>
        <n v="45.03"/>
        <n v="45.06"/>
        <n v="45.4"/>
        <n v="45.51"/>
        <n v="45.92"/>
        <n v="46.34"/>
        <n v="47.05"/>
        <n v="47.24"/>
        <n v="47.74"/>
        <n v="47.93"/>
        <n v="48"/>
        <n v="48.44"/>
        <n v="48.78"/>
        <n v="48.82"/>
        <n v="48.99"/>
        <n v="49.17"/>
        <n v="49.32"/>
        <n v="49.53"/>
        <n v="49.75"/>
        <n v="50.11"/>
        <n v="50.29"/>
        <n v="50.55"/>
        <n v="51.2"/>
        <n v="51.21"/>
        <n v="51.52"/>
        <n v="51.89"/>
        <n v="52.28"/>
        <n v="52.51"/>
        <n v="52.68"/>
        <n v="52.91"/>
        <n v="52.93"/>
        <n v="53.05"/>
        <n v="53.14"/>
        <n v="53.21"/>
        <n v="53.29"/>
        <n v="53.48"/>
        <n v="53.94"/>
        <n v="54.07"/>
        <n v="54.48"/>
        <n v="54.63"/>
        <n v="54.75"/>
        <n v="54.77"/>
        <n v="54.93"/>
        <n v="55.11"/>
        <n v="55.25"/>
        <n v="55.38"/>
        <n v="55.43"/>
        <n v="55.51"/>
        <n v="55.75"/>
        <n v="55.81"/>
        <n v="56.22"/>
        <n v="56.36"/>
        <n v="56.51"/>
        <n v="57.36"/>
        <n v="58.03"/>
        <n v="58.14"/>
        <n v="58.42"/>
        <n v="58.46"/>
        <n v="58.5"/>
        <n v="58.86"/>
        <n v="58.89"/>
        <n v="59.18"/>
        <n v="59.96"/>
        <n v="60.04"/>
        <n v="60.12"/>
        <n v="60.2"/>
        <n v="60.88"/>
        <n v="60.95"/>
        <n v="61.59"/>
        <n v="61.85"/>
        <n v="62.49"/>
        <n v="62.59"/>
        <n v="63.08"/>
        <n v="63.19"/>
        <n v="63.86"/>
        <n v="64.14"/>
        <n v="64.23"/>
        <n v="64.64"/>
        <n v="64.790000000000006"/>
        <n v="64.83"/>
        <n v="65.510000000000005"/>
        <n v="65.56"/>
        <n v="65.680000000000007"/>
        <n v="65.739999999999995"/>
        <n v="66.099999999999994"/>
        <n v="66.290000000000006"/>
        <n v="66.47"/>
        <n v="66.64"/>
        <n v="67.31"/>
        <n v="67.38"/>
        <n v="67.400000000000006"/>
        <n v="67.849999999999994"/>
        <n v="67.92"/>
        <n v="68.25"/>
        <n v="68.37"/>
        <n v="68.44"/>
        <n v="68.66"/>
        <n v="69.61"/>
        <n v="69.819999999999993"/>
        <n v="70"/>
        <n v="70.12"/>
        <n v="70.2"/>
        <n v="70.290000000000006"/>
        <n v="70.319999999999993"/>
        <n v="70.38"/>
        <n v="70.77"/>
        <n v="71.099999999999994"/>
        <n v="71.17"/>
        <n v="72.11"/>
        <n v="72.48"/>
        <n v="72.709999999999994"/>
        <n v="72.760000000000005"/>
        <n v="72.900000000000006"/>
        <n v="72.94"/>
        <n v="73.16"/>
        <n v="74.02"/>
        <n v="74.16"/>
        <n v="74.31"/>
        <n v="75.02"/>
        <n v="75.17"/>
        <n v="75.48"/>
        <n v="75.52"/>
        <n v="75.69"/>
        <n v="75.97"/>
        <n v="76.41"/>
        <n v="76.69"/>
        <n v="77.290000000000006"/>
        <n v="78.13"/>
        <n v="78.31"/>
        <n v="78.599999999999994"/>
        <n v="78.77"/>
        <n v="78.8"/>
        <n v="79.81"/>
        <n v="79.89"/>
        <n v="80.650000000000006"/>
        <n v="81.38"/>
        <n v="82.24"/>
        <n v="82.87"/>
        <n v="82.89"/>
        <n v="82.94"/>
        <n v="83.4"/>
        <n v="83.43"/>
        <n v="83.68"/>
        <n v="84.13"/>
        <n v="84.32"/>
        <n v="84.41"/>
        <n v="84.79"/>
        <n v="84.81"/>
        <n v="85"/>
        <n v="85.12"/>
        <n v="85.16"/>
        <n v="85.32"/>
        <n v="85.36"/>
        <n v="86.29"/>
        <n v="86.4"/>
        <n v="86.44"/>
        <n v="87"/>
        <n v="87.22"/>
        <n v="87.49"/>
        <n v="88.12"/>
        <n v="88.64"/>
        <n v="88.74"/>
        <n v="89.68"/>
        <n v="89.73"/>
        <n v="90.75"/>
        <n v="90.79"/>
        <n v="90.8"/>
        <n v="90.82"/>
        <n v="90.83"/>
        <n v="90.88"/>
        <n v="91.02"/>
        <n v="91.14"/>
        <n v="91.39"/>
        <n v="91.9"/>
        <n v="91.99"/>
        <n v="92.61"/>
        <n v="93.11"/>
        <n v="93.14"/>
        <n v="93.21"/>
        <n v="93.28"/>
        <n v="93.4"/>
        <n v="93.51"/>
        <n v="93.8"/>
        <n v="93.99"/>
        <n v="94.14"/>
        <n v="94.36"/>
        <n v="94.8"/>
        <n v="94.98"/>
        <n v="95.16"/>
        <n v="95.18"/>
        <n v="95.42"/>
        <n v="95.48"/>
        <n v="95.49"/>
        <n v="95.73"/>
        <n v="95.9"/>
        <n v="96.07"/>
        <n v="96.31"/>
        <n v="96.32"/>
        <n v="96.35"/>
        <n v="96.62"/>
        <n v="97.02"/>
        <n v="97.21"/>
        <n v="97.74"/>
        <n v="97.8"/>
        <n v="98.14"/>
        <n v="98.6"/>
        <n v="98.86"/>
        <n v="98.91"/>
        <n v="99"/>
        <n v="99.05"/>
        <n v="99.21"/>
        <n v="99.67"/>
        <n v="99.98"/>
        <n v="99.99"/>
        <n v="100.36"/>
        <n v="100.51"/>
        <n v="100.79"/>
        <n v="101"/>
        <n v="101.35"/>
        <n v="101.48"/>
        <n v="101.63"/>
        <n v="101.72"/>
        <n v="101.76"/>
        <n v="102.05"/>
        <n v="102.14"/>
        <n v="102.48"/>
        <n v="102.58"/>
        <n v="103.32"/>
        <n v="103.59"/>
        <n v="103.73"/>
        <n v="104.11"/>
        <n v="104.36"/>
        <n v="104.72"/>
        <n v="104.84"/>
        <n v="104.85"/>
        <n v="105.04"/>
        <n v="105.06"/>
        <n v="105.52"/>
        <n v="106.05"/>
        <n v="106.26"/>
        <n v="106.36"/>
        <n v="106.38"/>
        <n v="106.78"/>
        <n v="106.94"/>
        <n v="107.02"/>
        <n v="107.11"/>
        <n v="107.14"/>
        <n v="107.67"/>
        <n v="107.74"/>
        <n v="107.76"/>
        <n v="107.91"/>
        <n v="108.13"/>
        <n v="108.54"/>
        <n v="109.06"/>
        <n v="109.3"/>
        <n v="109.83"/>
        <n v="110.06"/>
        <n v="110.13"/>
        <n v="110.33"/>
        <n v="110.86"/>
        <n v="111.22"/>
        <n v="111.26"/>
        <n v="111.29"/>
        <n v="111.96"/>
        <n v="112.18"/>
        <n v="112.42"/>
        <n v="112.66"/>
        <n v="112.79"/>
        <n v="112.87"/>
        <n v="113.09"/>
        <n v="113.39"/>
        <n v="113.41"/>
        <n v="114.07"/>
        <n v="115.02"/>
        <n v="115.36"/>
        <n v="115.46"/>
        <n v="115.74"/>
        <n v="115.98"/>
        <n v="116.24"/>
        <n v="116.97"/>
        <n v="117.52"/>
        <n v="117.55"/>
        <n v="118.18"/>
        <n v="118.42"/>
        <n v="118.51"/>
        <n v="118.86"/>
        <n v="119.11"/>
        <n v="119.3"/>
        <n v="119.32"/>
        <n v="119.49"/>
        <n v="120.04"/>
        <n v="120.5"/>
        <n v="121.18"/>
        <n v="121.45"/>
        <n v="121.63"/>
        <n v="121.76"/>
        <n v="121.82"/>
        <n v="122.07"/>
        <n v="122.35"/>
        <n v="122.57"/>
        <n v="122.59"/>
        <n v="122.83"/>
        <n v="123.2"/>
        <n v="123.32"/>
        <n v="123.56"/>
        <n v="123.96"/>
        <n v="124.11"/>
        <n v="124.41"/>
        <n v="125.08"/>
        <n v="125.19"/>
        <n v="125.29"/>
        <n v="125.39"/>
        <n v="125.48"/>
        <n v="125.77"/>
        <n v="125.91"/>
        <n v="126.12"/>
        <n v="126.35"/>
        <n v="126.36"/>
        <n v="126.42"/>
        <n v="126.49"/>
        <n v="126.5"/>
        <n v="126.87"/>
        <n v="126.95"/>
        <n v="127.23"/>
        <n v="127.58"/>
        <n v="127.83"/>
        <n v="127.91"/>
        <n v="127.98"/>
        <n v="128.21"/>
        <n v="128.69"/>
        <n v="129.11000000000001"/>
        <n v="129.16999999999999"/>
        <n v="129.41999999999999"/>
        <n v="129.55000000000001"/>
        <n v="129.85"/>
        <n v="129.88"/>
        <n v="130.16"/>
        <n v="130.47999999999999"/>
        <n v="130.51"/>
        <n v="130.52000000000001"/>
        <n v="131.1"/>
        <n v="131.13999999999999"/>
        <n v="131.47"/>
        <n v="131.94"/>
        <n v="132.91"/>
        <n v="133.24"/>
        <n v="133.6"/>
        <n v="133.63999999999999"/>
        <n v="134.13999999999999"/>
        <n v="134.19"/>
        <n v="134.49"/>
        <n v="134.65"/>
        <n v="134.72"/>
        <n v="134.75"/>
        <n v="134.91999999999999"/>
        <n v="135.32"/>
        <n v="135.71"/>
        <n v="135.75"/>
        <n v="136.09"/>
        <n v="136.26"/>
        <n v="136.31"/>
        <n v="136.66"/>
        <n v="137.09"/>
        <n v="137.28"/>
        <n v="137.46"/>
        <n v="137.61000000000001"/>
        <n v="137.72999999999999"/>
        <n v="137.94"/>
        <n v="138.02000000000001"/>
        <n v="138.43"/>
        <n v="139.21"/>
        <n v="139.29"/>
        <n v="139.34"/>
        <n v="139.54"/>
        <n v="139.66"/>
        <n v="140.04"/>
        <n v="140.12"/>
        <n v="140.13999999999999"/>
        <n v="140.35"/>
        <n v="140.38999999999999"/>
        <n v="140.66"/>
        <n v="140.72999999999999"/>
        <n v="141.08000000000001"/>
        <n v="141.49"/>
        <n v="142.12"/>
        <n v="142.19"/>
        <n v="142.31"/>
        <n v="142.6"/>
        <n v="142.61000000000001"/>
        <n v="142.9"/>
        <n v="142.91999999999999"/>
        <n v="142.94"/>
        <n v="143.06"/>
        <n v="143.08000000000001"/>
        <n v="143.13999999999999"/>
        <n v="143.15"/>
        <n v="143.38"/>
        <n v="143.71"/>
        <n v="144.43"/>
        <n v="144.46"/>
        <n v="144.58000000000001"/>
        <n v="145.22999999999999"/>
        <n v="146.34"/>
        <n v="146.61000000000001"/>
        <n v="146.74"/>
        <n v="146.94"/>
        <n v="146.99"/>
        <n v="147.31"/>
        <n v="147.69999999999999"/>
        <n v="148.01"/>
        <n v="148.06"/>
        <n v="148.09"/>
        <n v="148.32"/>
        <n v="148.53"/>
        <n v="148.57"/>
        <n v="148.61000000000001"/>
        <n v="148.63"/>
        <n v="148.69999999999999"/>
        <n v="148.94"/>
        <n v="149.04"/>
        <n v="149.11000000000001"/>
        <n v="149.12"/>
        <n v="149.22"/>
        <n v="149.81"/>
        <n v="150.24"/>
        <n v="150.32"/>
        <n v="150.76"/>
        <n v="150.83000000000001"/>
        <n v="150.93"/>
        <n v="151.15"/>
        <n v="151.30000000000001"/>
        <n v="152.25"/>
        <n v="152.37"/>
        <n v="152.69"/>
        <n v="152.82"/>
        <n v="152.85"/>
        <n v="152.97"/>
        <n v="153.12"/>
        <n v="153.57"/>
        <n v="153.69999999999999"/>
        <n v="153.91"/>
        <n v="154.34"/>
        <n v="154.55000000000001"/>
        <n v="154.58000000000001"/>
        <n v="155.08000000000001"/>
        <n v="155.30000000000001"/>
        <n v="155.61000000000001"/>
        <n v="156.08000000000001"/>
        <n v="156.19"/>
        <n v="156.80000000000001"/>
        <n v="156.96"/>
        <n v="158.08000000000001"/>
        <n v="158.66"/>
        <n v="158.72999999999999"/>
        <n v="158.88999999999999"/>
        <n v="159.13999999999999"/>
        <n v="159.15"/>
        <n v="159.25"/>
        <n v="159.35"/>
        <n v="159.51"/>
        <n v="159.57"/>
        <n v="159.91999999999999"/>
        <n v="160.13"/>
        <n v="160.19999999999999"/>
        <n v="160.49"/>
        <n v="160.94999999999999"/>
        <n v="161.02000000000001"/>
        <n v="161.5"/>
        <n v="161.72"/>
        <n v="161.97"/>
        <n v="162.29"/>
        <n v="162.33000000000001"/>
        <n v="162.66999999999999"/>
        <n v="162.77000000000001"/>
        <n v="163"/>
        <n v="163.32"/>
        <n v="163.41"/>
        <n v="163.47999999999999"/>
        <n v="163.65"/>
        <n v="163.87"/>
        <n v="163.95"/>
        <n v="163.97"/>
        <n v="164.26"/>
        <n v="164.28"/>
        <n v="164.43"/>
        <n v="164.54"/>
        <n v="164.55"/>
        <n v="164.91"/>
        <n v="165.13"/>
        <n v="165.53"/>
        <n v="166.43"/>
        <n v="166.55"/>
        <n v="166.59"/>
        <n v="166.79"/>
        <n v="167.04"/>
        <n v="167.33"/>
        <n v="167.66"/>
        <n v="168.03"/>
        <n v="168.63"/>
        <n v="168.77"/>
        <n v="168.82"/>
        <n v="168.83"/>
        <n v="168.9"/>
        <n v="169.16"/>
        <n v="169.56"/>
        <n v="170.85"/>
        <n v="170.97"/>
        <n v="171.05"/>
        <n v="171.16"/>
        <n v="171.21"/>
        <n v="171.29"/>
        <n v="171.3"/>
        <n v="171.44"/>
        <n v="171.47"/>
        <n v="171.48"/>
        <n v="171.52"/>
        <n v="171.65"/>
        <n v="171.81"/>
        <n v="173.8"/>
        <n v="173.83"/>
        <n v="173.88"/>
        <n v="174.09"/>
        <n v="174.31"/>
        <n v="174.53"/>
        <n v="174.54"/>
        <n v="174.6"/>
        <n v="174.91"/>
        <n v="175.66"/>
        <n v="175.7"/>
        <n v="176.03"/>
        <n v="176.07"/>
        <n v="176.11"/>
        <n v="176.27"/>
        <n v="176.31"/>
        <n v="176.32"/>
        <n v="176.43"/>
        <n v="177.38"/>
        <n v="177.58"/>
        <n v="177.78"/>
        <n v="177.8"/>
        <n v="178.04"/>
        <n v="178.06"/>
        <n v="178.11"/>
        <n v="178.14"/>
        <n v="178.24"/>
        <n v="178.28"/>
        <n v="178.7"/>
        <n v="178.79"/>
        <n v="179.45"/>
        <n v="179.61"/>
        <n v="179.76"/>
        <n v="179.96"/>
        <n v="180.64"/>
        <n v="180.74"/>
        <n v="180.92"/>
        <n v="180.93"/>
        <n v="181.03"/>
        <n v="181.37"/>
        <n v="181.42"/>
        <n v="181.77"/>
        <n v="181.89"/>
        <n v="182.04"/>
        <n v="182.34"/>
        <n v="182.35"/>
        <n v="182.6"/>
        <n v="182.76"/>
        <n v="182.8"/>
        <n v="183.45"/>
        <n v="183.51"/>
        <n v="183.52"/>
        <n v="183.55"/>
        <n v="183.79"/>
        <n v="184.41"/>
        <n v="184.69"/>
        <n v="185.14"/>
        <n v="185.15"/>
        <n v="185.23"/>
        <n v="185.43"/>
        <n v="185.58"/>
        <n v="185.62"/>
        <n v="185.79"/>
        <n v="185.9"/>
        <n v="185.98"/>
        <n v="186.13"/>
        <n v="186.32"/>
        <n v="186.46"/>
        <n v="186.59"/>
        <n v="186.62"/>
        <n v="186.67"/>
        <n v="186.79"/>
        <n v="186.86"/>
        <n v="186.93"/>
        <n v="186.98"/>
        <n v="187.1"/>
        <n v="187.13"/>
        <n v="187.16"/>
        <n v="187.2"/>
        <n v="187.33"/>
        <n v="188.05"/>
        <n v="188.12"/>
        <n v="188.33"/>
        <n v="188.56"/>
        <n v="188.86"/>
        <n v="189.31"/>
        <n v="189.55"/>
        <n v="190.12"/>
        <n v="190.6"/>
        <n v="190.63"/>
        <n v="191.29"/>
        <n v="191.36"/>
        <n v="191.54"/>
        <n v="191.8"/>
        <n v="191.84"/>
        <n v="191.91"/>
        <n v="191.94"/>
        <n v="192.1"/>
        <n v="192.27"/>
        <n v="192.38"/>
        <n v="192.41"/>
        <n v="192.99"/>
        <n v="193.11"/>
        <n v="193.55"/>
        <n v="194.12"/>
        <n v="194.21"/>
        <n v="194.23"/>
        <n v="194.45"/>
        <n v="194.78"/>
        <n v="195.01"/>
        <n v="195.21"/>
        <n v="195.36"/>
        <n v="195.46"/>
        <n v="195.7"/>
        <n v="196.05"/>
        <n v="196.19"/>
        <n v="196.62"/>
        <n v="197.06"/>
        <n v="197.28"/>
        <n v="197.35"/>
        <n v="197.42"/>
        <n v="197.67"/>
        <n v="198"/>
        <n v="198.05"/>
        <n v="198.63"/>
        <n v="198.86"/>
        <n v="198.88"/>
        <n v="198.89"/>
        <n v="199"/>
        <n v="199.15"/>
        <n v="199.39"/>
        <n v="199.58"/>
        <n v="199.93"/>
        <n v="200.22"/>
        <n v="200.38"/>
        <n v="200.69"/>
        <n v="200.72"/>
        <n v="200.8"/>
        <n v="201.14"/>
        <n v="201.16"/>
        <n v="201.61"/>
        <n v="201.89"/>
        <n v="201.93"/>
        <n v="202.35"/>
        <n v="202.39"/>
        <n v="202.47"/>
        <n v="203.5"/>
        <n v="203.71"/>
        <n v="203.93"/>
        <n v="204.75"/>
        <n v="204.78"/>
        <n v="205.11"/>
        <n v="205.22"/>
        <n v="205.37"/>
        <n v="205.45"/>
        <n v="205.55"/>
        <n v="205.63"/>
        <n v="205.74"/>
        <n v="205.99"/>
        <n v="206.17"/>
        <n v="206.22"/>
        <n v="206.27"/>
        <n v="206.3"/>
        <n v="206.44"/>
        <n v="206.51"/>
        <n v="206.58"/>
        <n v="206.85"/>
        <n v="207.13"/>
        <n v="207.18"/>
        <n v="207.28"/>
        <n v="207.29"/>
        <n v="207.49"/>
        <n v="208.12"/>
        <n v="208.45"/>
        <n v="208.51"/>
        <n v="208.74"/>
        <n v="208.93"/>
        <n v="209.19"/>
        <n v="209.3"/>
        <n v="209.42"/>
        <n v="209.52"/>
        <n v="209.65"/>
        <n v="209.7"/>
        <n v="210.03"/>
        <n v="210.22"/>
        <n v="211.06"/>
        <n v="211.52"/>
        <n v="211.76"/>
        <n v="211.78"/>
        <n v="213.04"/>
        <n v="213.32"/>
        <n v="213.45"/>
        <n v="213.89"/>
        <n v="214.78"/>
        <n v="215.32"/>
        <n v="216.39"/>
        <n v="216.58"/>
        <n v="216.6"/>
        <n v="217.24"/>
        <n v="217.41"/>
        <n v="217.7"/>
        <n v="217.71"/>
        <n v="217.78"/>
        <n v="217.86"/>
        <n v="218.47"/>
        <n v="219.14"/>
        <n v="219.62"/>
        <n v="219.8"/>
        <n v="219.95"/>
        <n v="220.13"/>
        <n v="220.17"/>
        <n v="221.1"/>
        <n v="221.12"/>
        <n v="221.13"/>
        <n v="221.38"/>
        <n v="222.25"/>
        <n v="222.3"/>
        <n v="222.85"/>
        <n v="223.23"/>
        <n v="223.41"/>
        <n v="223.49"/>
        <n v="223.88"/>
        <n v="224.06"/>
        <n v="224.68"/>
        <n v="224.83"/>
        <n v="225.38"/>
        <n v="225.45"/>
        <n v="225.56"/>
        <n v="225.61"/>
        <n v="225.79"/>
        <n v="225.87"/>
        <n v="225.91"/>
        <n v="226.26"/>
        <n v="226.66"/>
        <n v="227.55"/>
        <n v="227.82"/>
        <n v="228.73"/>
        <n v="228.92"/>
        <n v="229.29"/>
        <n v="229.66"/>
        <n v="229.77"/>
        <n v="229.8"/>
        <n v="230.18"/>
        <n v="230.24"/>
        <n v="230.43"/>
        <n v="230.69"/>
        <n v="230.82"/>
        <n v="230.95"/>
        <n v="231.47"/>
        <n v="231.66"/>
        <n v="231.76"/>
        <n v="232.04"/>
        <n v="232.27"/>
        <n v="232.28"/>
        <n v="232.51"/>
        <n v="232.67"/>
        <n v="233.01"/>
        <n v="233.07"/>
        <n v="233.37"/>
        <n v="233.59"/>
        <n v="233.72"/>
        <n v="233.87"/>
        <n v="234.07"/>
        <n v="234.09"/>
        <n v="234.2"/>
        <n v="234.57"/>
        <n v="234.82"/>
        <n v="235.12"/>
        <n v="235.34"/>
        <n v="235.89"/>
        <n v="236.06"/>
        <n v="236.25"/>
        <n v="236.32"/>
        <n v="236.74"/>
        <n v="236.77"/>
        <n v="236.98"/>
        <n v="237.36"/>
        <n v="237.61"/>
        <n v="237.68"/>
        <n v="237.8"/>
        <n v="237.92"/>
        <n v="237.96"/>
        <n v="238.34"/>
        <n v="238.35"/>
        <n v="238.53"/>
        <n v="238.68"/>
        <n v="238.9"/>
        <n v="239.3"/>
        <n v="239.39"/>
        <n v="240.14"/>
        <n v="240.92"/>
        <n v="241.67"/>
        <n v="241.8"/>
        <n v="242.19"/>
        <n v="242.23"/>
        <n v="242.45"/>
        <n v="242.97"/>
        <n v="243.43"/>
        <n v="243.59"/>
        <n v="243.93"/>
        <n v="243.98"/>
        <n v="244.03"/>
        <n v="244.66"/>
        <n v="244.77"/>
        <n v="244.82"/>
        <n v="244.99"/>
        <n v="245.38"/>
        <n v="245.74"/>
        <n v="246.09"/>
        <n v="246.34"/>
        <n v="246.47"/>
        <n v="246.51"/>
        <n v="246.64"/>
        <n v="247.31"/>
        <n v="247.72"/>
        <n v="247.74"/>
        <n v="247.82"/>
        <n v="248.03"/>
        <n v="248.26"/>
        <n v="248.33"/>
        <n v="248.61"/>
        <n v="248.72"/>
        <n v="248.81"/>
        <n v="248.92"/>
        <n v="249.25"/>
        <n v="249.26"/>
        <n v="249.27"/>
        <n v="249.49"/>
        <n v="249.96"/>
        <n v="250.21"/>
        <n v="250.35"/>
        <n v="250.46"/>
        <n v="250.58"/>
        <n v="250.59"/>
        <n v="250.95"/>
        <n v="251.3"/>
        <n v="251.78"/>
        <n v="252.36"/>
        <n v="252.48"/>
        <n v="252.49"/>
        <n v="252.9"/>
        <n v="253.06"/>
        <n v="253.17"/>
        <n v="253.23"/>
        <n v="253.96"/>
        <n v="254.1"/>
        <n v="254.29"/>
        <n v="255.08"/>
        <n v="255.3"/>
        <n v="255.31"/>
        <n v="255.47"/>
        <n v="255.84"/>
        <n v="256"/>
        <n v="256.17"/>
        <n v="256.27999999999997"/>
        <n v="256.33999999999997"/>
        <n v="256.76"/>
        <n v="256.8"/>
        <n v="257.08999999999997"/>
        <n v="257.89999999999998"/>
        <n v="257.92"/>
        <n v="258.26"/>
        <n v="258.60000000000002"/>
        <n v="258.67"/>
        <n v="258.77"/>
        <n v="258.83"/>
        <n v="259.12"/>
        <n v="259.8"/>
        <n v="260.17"/>
        <n v="260.77"/>
        <n v="260.95"/>
        <n v="260.97000000000003"/>
        <n v="261.77999999999997"/>
        <n v="261.8"/>
        <n v="261.81"/>
        <n v="261.95"/>
        <n v="262.19"/>
        <n v="262.20999999999998"/>
        <n v="262.38"/>
        <n v="262.47000000000003"/>
        <n v="262.87"/>
        <n v="262.89999999999998"/>
        <n v="263.07"/>
        <n v="263.20999999999998"/>
        <n v="263.43"/>
        <n v="263.52"/>
        <n v="263.56"/>
        <n v="263.64"/>
        <n v="263.7"/>
        <n v="263.77999999999997"/>
        <n v="263.92"/>
        <n v="264.02999999999997"/>
        <n v="264.37"/>
        <n v="264.61"/>
        <n v="264.74"/>
        <n v="265.19"/>
        <n v="265.44"/>
        <n v="265.64999999999998"/>
        <n v="266.04000000000002"/>
        <n v="266.14"/>
        <n v="266.22000000000003"/>
        <n v="266.24"/>
        <n v="266.3"/>
        <n v="266.47000000000003"/>
        <n v="266.83999999999997"/>
        <n v="266.94"/>
        <n v="267.19"/>
        <n v="267.86"/>
        <n v="267.89"/>
        <n v="268.07"/>
        <n v="268.52999999999997"/>
        <n v="268.61"/>
        <n v="268.77999999999997"/>
        <n v="269.19"/>
        <n v="269.2"/>
        <n v="269.39"/>
        <n v="269.54000000000002"/>
        <n v="269.58"/>
        <n v="269.95999999999998"/>
        <n v="270.19"/>
        <n v="270.32"/>
        <n v="270.48"/>
        <n v="271.06"/>
        <n v="271.39"/>
        <n v="271.58"/>
        <n v="271.85000000000002"/>
        <n v="272.20999999999998"/>
        <n v="272.27"/>
        <n v="272.27999999999997"/>
        <n v="272.33"/>
        <n v="272.64999999999998"/>
        <n v="272.77"/>
        <n v="273.11"/>
        <n v="273.19"/>
        <n v="273.37"/>
        <n v="273.68"/>
        <n v="273.8"/>
        <n v="274.33"/>
        <n v="274.74"/>
        <n v="274.89999999999998"/>
        <n v="275.02999999999997"/>
        <n v="275.14"/>
        <n v="275.55"/>
        <n v="275.62"/>
        <n v="275.68"/>
        <n v="275.91000000000003"/>
        <n v="276.36"/>
        <n v="276.92"/>
        <n v="277.43"/>
        <n v="277.75"/>
        <n v="278.04000000000002"/>
        <n v="278.13"/>
        <n v="278.16000000000003"/>
        <n v="278.19"/>
        <n v="278.38"/>
        <n v="278.45"/>
        <n v="278.73"/>
        <n v="278.92"/>
        <n v="279.10000000000002"/>
        <n v="279.19"/>
        <n v="279.25"/>
        <n v="279.52999999999997"/>
        <n v="279.8"/>
        <n v="279.95"/>
        <n v="280.02999999999997"/>
        <n v="280.05"/>
        <n v="280.11"/>
        <n v="280.3"/>
        <n v="280.49"/>
        <n v="280.62"/>
        <n v="280.88"/>
        <n v="281.45"/>
        <n v="281.68"/>
        <n v="281.76"/>
        <n v="281.89999999999998"/>
        <n v="282.14999999999998"/>
        <n v="282.47000000000003"/>
        <n v="282.49"/>
        <n v="282.5"/>
        <n v="282.64"/>
        <n v="282.83"/>
        <n v="283.20999999999998"/>
        <n v="283.43"/>
        <n v="283.8"/>
        <n v="283.89999999999998"/>
        <n v="284.45999999999998"/>
        <n v="284.64999999999998"/>
        <n v="284.98"/>
        <n v="285.08999999999997"/>
        <n v="285.43"/>
        <n v="285.51"/>
        <n v="285.70999999999998"/>
        <n v="285.81"/>
        <n v="286.33"/>
        <n v="287.04000000000002"/>
        <n v="287.11"/>
        <n v="287.13"/>
        <n v="287.24"/>
        <n v="287.3"/>
        <n v="287.76"/>
        <n v="287.8"/>
        <n v="287.81"/>
        <n v="288.25"/>
        <n v="289.11"/>
        <n v="289.38"/>
        <n v="289.52"/>
        <n v="289.95"/>
        <n v="290.05"/>
        <n v="290.23"/>
        <n v="290.63"/>
        <n v="290.91000000000003"/>
        <n v="291.01"/>
        <n v="291.10000000000002"/>
        <n v="291.27"/>
        <n v="291.32"/>
        <n v="291.37"/>
        <n v="291.38"/>
        <n v="291.69"/>
        <n v="291.7"/>
        <n v="291.83"/>
        <n v="291.85000000000002"/>
        <n v="291.95"/>
        <n v="292.07"/>
        <n v="292.08"/>
        <n v="292.08999999999997"/>
        <n v="292.2"/>
        <n v="292.67"/>
        <n v="292.72000000000003"/>
        <n v="292.74"/>
        <n v="293.19"/>
        <n v="293.31"/>
        <n v="293.48"/>
        <n v="293.60000000000002"/>
        <n v="294.89"/>
        <n v="295.02999999999997"/>
        <n v="295.44"/>
        <n v="295.87"/>
        <n v="295.95999999999998"/>
        <n v="295.98"/>
        <n v="296.17"/>
        <n v="296.22000000000003"/>
        <n v="296.31"/>
        <n v="296.52999999999997"/>
        <n v="296.55"/>
        <n v="296.73"/>
        <n v="296.87"/>
        <n v="296.88"/>
        <n v="297.14"/>
        <n v="297.18"/>
        <n v="297.27"/>
        <n v="297.57"/>
        <n v="297.64999999999998"/>
        <n v="297.77"/>
        <n v="298.02"/>
        <n v="298.05"/>
        <n v="298.12"/>
        <n v="298.18"/>
        <n v="298.88"/>
        <n v="299.12"/>
        <n v="299.17"/>
        <n v="299.3"/>
        <n v="299.32"/>
        <n v="299.76"/>
        <n v="300.16000000000003"/>
        <n v="300.20999999999998"/>
        <n v="300.32"/>
        <n v="300.57"/>
        <n v="300.66000000000003"/>
        <n v="301.08"/>
        <n v="302.17"/>
        <n v="302.41000000000003"/>
        <n v="302.43"/>
        <n v="302.45"/>
        <n v="302.47000000000003"/>
        <n v="302.49"/>
        <n v="302.95999999999998"/>
        <n v="303.02"/>
        <n v="303.16000000000003"/>
        <n v="303.22000000000003"/>
        <n v="303.39"/>
        <n v="303.61"/>
        <n v="303.7"/>
        <n v="303.77"/>
        <n v="304.33"/>
        <n v="304.54000000000002"/>
        <n v="304.66000000000003"/>
        <n v="305.16000000000003"/>
        <n v="305.89"/>
        <n v="306.12"/>
        <n v="306.60000000000002"/>
        <n v="306.82"/>
        <n v="307.92"/>
        <n v="308.07"/>
        <n v="308.14"/>
        <n v="308.18"/>
        <n v="308.93"/>
        <n v="309.85000000000002"/>
        <n v="309.86"/>
        <n v="310.66000000000003"/>
        <n v="310.67"/>
        <n v="310.74"/>
        <n v="310.89"/>
        <n v="311.19"/>
        <n v="311.54000000000002"/>
        <n v="311.82"/>
        <n v="312.16000000000003"/>
        <n v="312.94"/>
        <n v="313.08999999999997"/>
        <n v="314.05"/>
        <n v="314.77"/>
        <n v="315.14"/>
        <n v="315.38"/>
        <n v="315.64"/>
        <n v="316.06"/>
        <n v="316.44"/>
        <n v="316.47000000000003"/>
        <n v="316.60000000000002"/>
        <n v="316.67"/>
        <n v="316.77999999999997"/>
        <n v="316.8"/>
        <n v="316.92"/>
        <n v="317.45999999999998"/>
        <n v="317.56"/>
        <n v="318"/>
        <n v="318.18"/>
        <n v="318.8"/>
        <n v="319.04000000000002"/>
        <n v="319.06"/>
        <n v="319.83"/>
        <n v="319.95"/>
        <n v="320.47000000000003"/>
        <n v="320.83999999999997"/>
        <n v="321.45999999999998"/>
        <n v="322.14999999999998"/>
        <n v="322.27"/>
        <n v="322.39"/>
        <n v="322.49"/>
        <n v="323.23"/>
        <n v="323.39"/>
        <n v="323.72000000000003"/>
        <n v="323.83"/>
        <n v="323.99"/>
        <n v="324.2"/>
        <n v="324.44"/>
        <n v="324.45999999999998"/>
        <n v="325.22000000000003"/>
        <n v="325.36"/>
        <n v="325.52"/>
        <n v="325.64999999999998"/>
        <n v="326.5"/>
        <n v="327.14999999999998"/>
        <n v="327.60000000000002"/>
        <n v="327.64"/>
        <n v="327.67"/>
        <n v="328.33"/>
        <n v="328.37"/>
        <n v="329.48"/>
        <n v="329.54"/>
        <n v="329.86"/>
        <n v="329.88"/>
        <n v="330.22"/>
        <n v="330.25"/>
        <n v="330.85"/>
        <n v="330.93"/>
        <n v="331.03"/>
        <n v="331.24"/>
        <n v="331.29"/>
        <n v="331.42"/>
        <n v="331.45"/>
        <n v="331.89"/>
        <n v="332.23"/>
        <n v="332.67"/>
        <n v="333.19"/>
        <n v="333.23"/>
        <n v="333.62"/>
        <n v="333.82"/>
        <n v="334.29"/>
        <n v="334.52"/>
        <n v="334.53"/>
        <n v="334.73"/>
        <n v="334.87"/>
        <n v="335.48"/>
        <n v="335.93"/>
        <n v="336.13"/>
        <n v="336.46"/>
        <n v="337.24"/>
        <n v="337.69"/>
        <n v="337.74"/>
        <n v="337.99"/>
        <n v="338.19"/>
        <n v="338.45"/>
        <n v="338.85"/>
        <n v="339.06"/>
        <n v="339.15"/>
        <n v="339.36"/>
        <n v="340.02"/>
        <n v="340.09"/>
        <n v="340.13"/>
        <n v="340.41"/>
        <n v="340.51"/>
        <n v="340.64"/>
        <n v="340.83"/>
        <n v="340.85"/>
        <n v="341.27"/>
        <n v="341.47"/>
        <n v="341.83"/>
        <n v="341.85"/>
        <n v="342.23"/>
        <n v="342.29"/>
        <n v="342.4"/>
        <n v="342.43"/>
        <n v="342.52"/>
        <n v="342.65"/>
        <n v="342.7"/>
        <n v="342.82"/>
        <n v="343.09"/>
        <n v="343.14"/>
        <n v="343.17"/>
        <n v="343.22"/>
        <n v="343.54"/>
        <n v="344.04"/>
        <n v="344.82"/>
        <n v="344.89"/>
        <n v="344.92"/>
        <n v="344.94"/>
        <n v="345.74"/>
        <n v="346.04"/>
        <n v="346.27"/>
        <n v="346.32"/>
        <n v="346.69"/>
        <n v="346.7"/>
        <n v="346.71"/>
        <n v="347.19"/>
        <n v="347.2"/>
        <n v="347.34"/>
        <n v="347.54"/>
        <n v="348.06"/>
        <n v="348.11"/>
        <n v="348.18"/>
        <n v="348.63"/>
        <n v="349.08"/>
        <n v="349.18"/>
        <n v="349.33"/>
        <n v="349.41"/>
        <n v="349.67"/>
        <n v="350.04"/>
        <n v="350.8"/>
        <n v="350.95"/>
        <n v="351.16"/>
        <n v="351.51"/>
        <n v="351.59"/>
        <n v="351.71"/>
        <n v="351.99"/>
        <n v="352.22"/>
        <n v="352.99"/>
        <n v="353.39"/>
        <n v="353.45"/>
        <n v="353.93"/>
        <n v="354.07"/>
        <n v="354.11"/>
        <n v="354.49"/>
        <n v="354.56"/>
        <n v="354.68"/>
        <n v="354.8"/>
        <n v="355.19"/>
        <n v="355.63"/>
        <n v="355.69"/>
        <n v="356.71"/>
        <n v="356.87"/>
        <n v="356.94"/>
        <n v="357.03"/>
        <n v="358.2"/>
        <n v="358.21"/>
        <n v="358.7"/>
        <n v="358.79"/>
        <n v="358.9"/>
        <n v="359.05"/>
        <n v="359.11"/>
        <n v="359.25"/>
        <n v="359.39"/>
        <n v="359.44"/>
        <n v="359.72"/>
        <n v="360.69"/>
        <n v="360.81"/>
        <n v="360.82"/>
        <n v="360.86"/>
        <n v="360.91"/>
        <n v="362.11"/>
        <n v="362.55"/>
        <n v="362.67"/>
        <n v="362.82"/>
        <n v="363.18"/>
        <n v="363.55"/>
        <n v="363.64"/>
        <n v="363.72"/>
        <n v="363.87"/>
        <n v="363.97"/>
        <n v="364.31"/>
        <n v="365.44"/>
        <n v="365.5"/>
        <n v="365.51"/>
        <n v="365.65"/>
        <n v="366.14"/>
        <n v="366.29"/>
        <n v="366.4"/>
        <n v="366.88"/>
        <n v="367.76"/>
        <n v="367.8"/>
        <n v="368.88"/>
        <n v="369.08"/>
        <n v="369.25"/>
        <n v="369.57"/>
        <n v="369.68"/>
        <n v="369.79"/>
        <n v="370.09"/>
        <n v="370.22"/>
        <n v="370.61"/>
        <n v="370.8"/>
        <n v="371.2"/>
        <n v="371.42"/>
        <n v="371.74"/>
        <n v="371.94"/>
        <n v="372.36"/>
        <n v="373.2"/>
        <n v="373.73"/>
        <n v="373.96"/>
        <n v="374.18"/>
        <n v="374.22"/>
        <n v="374.25"/>
        <n v="374.57"/>
        <n v="375.24"/>
        <n v="375.52"/>
        <n v="376.3"/>
        <n v="376.38"/>
        <n v="376.58"/>
        <n v="376.79"/>
        <n v="376.96"/>
        <n v="377.38"/>
        <n v="378.28"/>
        <n v="378.71"/>
        <n v="378.91"/>
        <n v="379.22"/>
        <n v="379.3"/>
        <n v="379.36"/>
        <n v="379.77"/>
        <n v="379.95"/>
        <n v="380.1"/>
        <n v="380.37"/>
        <n v="380.44"/>
        <n v="380.47"/>
        <n v="380.67"/>
        <n v="380.71"/>
        <n v="380.83"/>
        <n v="380.92"/>
        <n v="381.3"/>
        <n v="381.39"/>
        <n v="381.45"/>
        <n v="381.5"/>
        <n v="381.65"/>
        <n v="382.05"/>
        <n v="382.28"/>
        <n v="382.58"/>
        <n v="383.02"/>
        <n v="383.66"/>
        <n v="383.81"/>
        <n v="384.02"/>
        <n v="384.58"/>
        <n v="384.82"/>
        <n v="385.02"/>
        <n v="385.39"/>
        <n v="385.49"/>
        <n v="385.54"/>
        <n v="385.87"/>
        <n v="385.88"/>
        <n v="385.99"/>
        <n v="386.35"/>
        <n v="386.95"/>
        <n v="387.2"/>
        <n v="387.31"/>
        <n v="387.37"/>
        <n v="387.49"/>
        <n v="387.98"/>
        <n v="388.52"/>
        <n v="388.73"/>
        <n v="388.77"/>
        <n v="388.83"/>
        <n v="388.92"/>
        <n v="389.54"/>
        <n v="390.23"/>
        <n v="390.37"/>
        <n v="390.65"/>
        <n v="390.79"/>
        <n v="391.04"/>
        <n v="392.09"/>
        <n v="392.11"/>
        <n v="392.28"/>
        <n v="392.74"/>
        <n v="393.24"/>
        <n v="393.29"/>
        <n v="393.8"/>
        <n v="394.37"/>
        <n v="394.4"/>
        <n v="394.43"/>
        <n v="394.59"/>
        <n v="394.85"/>
        <n v="394.94"/>
        <n v="395.23"/>
        <n v="395.9"/>
        <n v="395.99"/>
        <n v="396.44"/>
        <n v="396.8"/>
        <n v="397.34"/>
        <n v="398.36"/>
        <n v="398.59"/>
        <n v="398.7"/>
        <n v="399.07"/>
        <n v="399.11"/>
        <n v="399.51"/>
        <n v="399.52"/>
        <n v="399.66"/>
        <n v="399.84"/>
        <n v="400.14"/>
        <n v="400.54"/>
        <n v="400.84"/>
        <n v="401.1"/>
        <n v="401.89"/>
        <n v="401.99"/>
        <n v="402.05"/>
        <n v="402.14"/>
        <n v="402.67"/>
        <n v="402.74"/>
        <n v="402.92"/>
        <n v="403.24"/>
        <n v="403.27"/>
        <n v="403.29"/>
        <n v="403.32"/>
        <n v="403.34"/>
        <n v="403.42"/>
        <n v="404.02"/>
        <n v="404.36"/>
        <n v="404.53"/>
        <n v="404.57"/>
        <n v="404.59"/>
        <n v="404.69"/>
        <n v="404.87"/>
        <n v="405.64"/>
        <n v="405.67"/>
        <n v="405.68"/>
        <n v="405.97"/>
        <n v="406.16"/>
        <n v="406.36"/>
        <n v="406.56"/>
        <n v="406.76"/>
        <n v="407.1"/>
        <n v="407.73"/>
        <n v="407.77"/>
        <n v="408.39"/>
        <n v="408.7"/>
        <n v="408.98"/>
        <n v="409.21"/>
        <n v="410"/>
        <n v="410.03"/>
        <n v="410.08"/>
        <n v="410.11"/>
        <n v="410.39"/>
        <n v="410.6"/>
        <n v="410.82"/>
        <n v="410.85"/>
        <n v="410.86"/>
        <n v="410.9"/>
        <n v="411.22"/>
        <n v="411.4"/>
        <n v="411.48"/>
        <n v="411.7"/>
        <n v="412.42"/>
        <n v="412.69"/>
        <n v="412.91"/>
        <n v="412.93"/>
        <n v="413.1"/>
        <n v="413.13"/>
        <n v="414.34"/>
        <n v="414.35"/>
        <n v="414.49"/>
        <n v="414.64"/>
        <n v="414.83"/>
        <n v="415.29"/>
        <n v="415.76"/>
        <n v="416.29"/>
        <n v="416.42"/>
        <n v="417.45"/>
        <n v="417.75"/>
        <n v="418.13"/>
        <n v="418.26"/>
        <n v="418.28"/>
        <n v="418.5"/>
        <n v="418.61"/>
        <n v="419.28"/>
        <n v="420.02"/>
        <n v="420.18"/>
        <n v="420.27"/>
        <n v="420.31"/>
        <n v="421.13"/>
        <n v="421.77"/>
        <n v="422.19"/>
        <n v="422.47"/>
        <n v="422.94"/>
        <n v="423.04"/>
        <n v="423.37"/>
        <n v="423.41"/>
        <n v="423.42"/>
        <n v="423.45"/>
        <n v="423.54"/>
        <n v="423.77"/>
        <n v="423.85"/>
        <n v="424.29"/>
        <n v="424.46"/>
        <n v="424.6"/>
        <n v="424.97"/>
        <n v="425.06"/>
        <n v="425.21"/>
        <n v="425.24"/>
        <n v="425.35"/>
        <n v="425.59"/>
        <n v="425.6"/>
        <n v="425.77"/>
        <n v="425.98"/>
        <n v="426.68"/>
        <n v="427.99"/>
        <n v="428"/>
        <n v="428.08"/>
        <n v="428.1"/>
        <n v="428.9"/>
        <n v="429.13"/>
        <n v="429.75"/>
        <n v="429.97"/>
        <n v="430.05"/>
        <n v="430.2"/>
        <n v="430.31"/>
        <n v="430.34"/>
        <n v="430.52"/>
        <n v="431.29"/>
        <n v="431.37"/>
        <n v="431.42"/>
        <n v="431.54"/>
        <n v="431.76"/>
        <n v="431.81"/>
        <n v="432.28"/>
        <n v="433.05"/>
        <n v="433.17"/>
        <n v="433.74"/>
        <n v="434.87"/>
        <n v="434.89"/>
        <n v="435.45"/>
        <n v="435.46"/>
        <n v="435.69"/>
        <n v="435.76"/>
        <n v="436.14"/>
        <n v="436.34"/>
        <n v="436.4"/>
        <n v="436.79"/>
        <n v="436.81"/>
        <n v="436.98"/>
        <n v="437.17"/>
        <n v="437.3"/>
        <n v="437.84"/>
        <n v="437.99"/>
        <n v="438.15"/>
        <n v="438.85"/>
        <n v="439.06"/>
        <n v="439.2"/>
        <n v="439.22"/>
        <n v="439.24"/>
        <n v="439.28"/>
        <n v="440.05"/>
        <n v="440.23"/>
        <n v="441.28"/>
        <n v="441.49"/>
        <n v="441.52"/>
        <n v="441.6"/>
        <n v="441.85"/>
        <n v="442.62"/>
        <n v="442.63"/>
        <n v="442.69"/>
        <n v="443.04"/>
        <n v="443.27"/>
        <n v="443.4"/>
        <n v="443.43"/>
        <n v="443.57"/>
        <n v="444.41"/>
        <n v="444.6"/>
        <n v="444.84"/>
        <n v="444.92"/>
        <n v="444.94"/>
        <n v="444.97"/>
        <n v="445.12"/>
        <n v="445.39"/>
        <n v="445.77"/>
        <n v="445.79"/>
        <n v="446.04"/>
        <n v="446.29"/>
        <n v="446.99"/>
        <n v="447.7"/>
        <n v="448.48"/>
        <n v="448.62"/>
        <n v="449.13"/>
        <n v="449.94"/>
        <n v="450.2"/>
        <n v="450.54"/>
        <n v="450.61"/>
        <n v="450.69"/>
        <n v="450.74"/>
        <n v="451.47"/>
        <n v="451.61"/>
        <n v="451.86"/>
        <n v="451.9"/>
        <n v="451.93"/>
        <n v="451.99"/>
        <n v="452.35"/>
        <n v="452.43"/>
        <n v="452.53"/>
        <n v="452.55"/>
        <n v="452.81"/>
        <n v="453.22"/>
        <n v="453.24"/>
        <n v="453.28"/>
        <n v="453.45"/>
        <n v="453.53"/>
        <n v="453.58"/>
        <n v="453.61"/>
        <n v="453.63"/>
        <n v="455.27"/>
        <n v="455.32"/>
        <n v="455.41"/>
        <n v="455.72"/>
        <n v="456.37"/>
        <n v="456.42"/>
        <n v="456.61"/>
        <n v="456.79"/>
        <n v="457.29"/>
        <n v="458.02"/>
        <n v="458.23"/>
        <n v="458.89"/>
        <n v="458.96"/>
        <n v="458.99"/>
        <n v="459.05"/>
        <n v="459.07"/>
        <n v="459.09"/>
        <n v="459.3"/>
        <n v="459.97"/>
        <n v="460.84"/>
        <n v="460.87"/>
        <n v="461.53"/>
        <n v="462.3"/>
        <n v="462.4"/>
        <n v="462.43"/>
        <n v="463.04"/>
        <n v="463.28"/>
        <n v="463.92"/>
        <n v="464.27"/>
        <n v="465"/>
        <n v="466.15"/>
        <n v="466.67"/>
        <n v="466.97"/>
        <n v="467.39"/>
        <n v="467.52"/>
        <n v="467.59"/>
        <n v="468.11"/>
        <n v="468.24"/>
        <n v="469.31"/>
        <n v="469.85"/>
        <n v="469.88"/>
        <n v="470.72"/>
        <n v="470.98"/>
        <n v="471.31"/>
        <n v="471.4"/>
        <n v="471.6"/>
        <n v="471.63"/>
        <n v="471.67"/>
        <n v="472"/>
        <n v="472.17"/>
        <n v="472.39"/>
        <n v="472.67"/>
        <n v="473.11"/>
        <n v="473.19"/>
        <n v="473.36"/>
        <n v="473.72"/>
        <n v="473.91"/>
        <n v="473.96"/>
        <n v="474.21"/>
        <n v="474.36"/>
        <n v="474.53"/>
        <n v="474.72"/>
        <n v="474.81"/>
        <n v="474.83"/>
        <n v="474.87"/>
        <n v="475.57"/>
        <n v="475.96"/>
        <n v="476.07"/>
        <n v="476.39"/>
        <n v="476.93"/>
        <n v="477.09"/>
        <n v="477.37"/>
        <n v="477.49"/>
        <n v="477.91"/>
        <n v="478.03"/>
        <n v="478.17"/>
        <n v="478.33"/>
        <n v="478.37"/>
        <n v="479.06"/>
        <n v="479.36"/>
        <n v="479.51"/>
        <n v="479.55"/>
        <n v="479.72"/>
        <n v="479.76"/>
        <n v="479.86"/>
        <n v="480.22"/>
        <n v="480.45"/>
        <n v="480.76"/>
        <n v="480.94"/>
        <n v="481"/>
        <n v="481.12"/>
        <n v="481.22"/>
        <n v="481.42"/>
        <n v="481.55"/>
        <n v="481.66"/>
        <n v="481.87"/>
        <n v="481.94"/>
        <n v="482.05"/>
        <n v="482.17"/>
        <n v="482.41"/>
        <n v="482.49"/>
        <n v="482.71"/>
        <n v="482.85"/>
        <n v="483.22"/>
        <n v="483.29"/>
        <n v="483.57"/>
        <n v="483.81"/>
        <n v="484.84"/>
        <n v="485.04"/>
        <n v="485.1"/>
        <n v="485.44"/>
        <n v="485.8"/>
        <n v="485.95"/>
        <n v="486.41"/>
        <n v="486.74"/>
        <n v="486.91"/>
        <n v="487.04"/>
        <n v="487.07"/>
        <n v="487.21"/>
        <n v="487.24"/>
        <n v="487.65"/>
        <n v="488.28"/>
        <n v="488.52"/>
        <n v="488.64"/>
        <n v="488.83"/>
        <n v="490.07"/>
        <n v="490.28"/>
        <n v="490.49"/>
        <n v="490.58"/>
        <n v="490.96"/>
        <n v="491.1"/>
        <n v="491.46"/>
        <n v="492.05"/>
        <n v="492.87"/>
        <n v="493.1"/>
        <n v="493.23"/>
        <n v="493.36"/>
        <n v="493.4"/>
        <n v="493.46"/>
        <n v="493.78"/>
        <n v="494.46"/>
        <n v="494.66"/>
        <n v="494.76"/>
        <n v="495.33"/>
        <n v="495.66"/>
        <n v="496.13"/>
        <n v="496.33"/>
        <n v="496.88"/>
        <n v="496.92"/>
        <n v="497"/>
        <n v="497.53"/>
        <n v="498.02"/>
        <n v="498.34"/>
        <n v="498.43"/>
        <n v="498.46"/>
        <n v="498.74"/>
        <n v="499.09"/>
        <n v="499.37"/>
        <n v="499.63"/>
        <n v="499.89"/>
      </sharedItems>
    </cacheField>
    <cacheField name="[Measures].[Sum of ROI]" caption="Sum of ROI" numFmtId="0" hierarchy="29" level="32767"/>
    <cacheField name="[Sheet1].[Region].[Region]" caption="Region" numFmtId="0" hierarchy="16" level="1">
      <sharedItems count="4">
        <s v="East"/>
        <s v="North"/>
        <s v="South"/>
        <s v="West"/>
      </sharedItems>
    </cacheField>
    <cacheField name="[Range].[Channel].[Channel]" caption="Channel" numFmtId="0" hierarchy="6" level="1">
      <sharedItems containsSemiMixedTypes="0" containsNonDate="0" containsString="0"/>
    </cacheField>
  </cacheFields>
  <cacheHierarchies count="31">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2" memberValueDatatype="5" unbalanced="0">
      <fieldsUsage count="2">
        <fieldUsage x="-1"/>
        <fieldUsage x="0"/>
      </fieldsUsage>
    </cacheHierarchy>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2" memberValueDatatype="130" unbalanced="0">
      <fieldsUsage count="2">
        <fieldUsage x="-1"/>
        <fieldUsage x="2"/>
      </fieldsUsage>
    </cacheHierarchy>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2"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hidden="1">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3032406" backgroundQuery="1" createdVersion="8" refreshedVersion="8" minRefreshableVersion="3" recordCount="0" supportSubquery="1" supportAdvancedDrill="1" xr:uid="{181434D0-3479-4958-8F4D-78BFD606A539}">
  <cacheSource type="external" connectionId="2"/>
  <cacheFields count="4">
    <cacheField name="[Range].[Date].[Date]" caption="Date" numFmtId="0" level="1">
      <sharedItems containsSemiMixedTypes="0" containsNonDate="0" containsDate="1" containsString="0" minDate="2024-01-01T00:00:00" maxDate="2024-05-01T00:00:00" count="12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Range].[Date (Month)].[Date (Month)]" caption="Date (Month)" numFmtId="0" hierarchy="8" level="1">
      <sharedItems count="4">
        <s v="Jan"/>
        <s v="Feb"/>
        <s v="Mar"/>
        <s v="Apr"/>
      </sharedItems>
    </cacheField>
    <cacheField name="[Measures].[Sum of Conversions]" caption="Sum of Conversions" numFmtId="0" hierarchy="24" level="32767"/>
    <cacheField name="[Range].[Channel].[Channel]" caption="Channel" numFmtId="0" hierarchy="6" level="1">
      <sharedItems containsSemiMixedTypes="0" containsNonDate="0" containsString="0"/>
    </cacheField>
  </cacheFields>
  <cacheHierarchies count="31">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0"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hidden="1">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hidden="1">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3726852" backgroundQuery="1" createdVersion="8" refreshedVersion="8" minRefreshableVersion="3" recordCount="0" supportSubquery="1" supportAdvancedDrill="1" xr:uid="{FF9D35D3-0672-4548-8C8E-E359A3EEC86E}">
  <cacheSource type="external" connectionId="2"/>
  <cacheFields count="4">
    <cacheField name="[Range].[Date].[Date]" caption="Date" numFmtId="0" level="1">
      <sharedItems containsSemiMixedTypes="0" containsNonDate="0" containsDate="1" containsString="0" minDate="2024-01-01T00:00:00" maxDate="2024-05-01T00:00:00" count="12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Range].[Date (Month)].[Date (Month)]" caption="Date (Month)" numFmtId="0" hierarchy="8" level="1">
      <sharedItems count="4">
        <s v="Jan"/>
        <s v="Feb"/>
        <s v="Mar"/>
        <s v="Apr"/>
      </sharedItems>
    </cacheField>
    <cacheField name="[Measures].[Sum of Revenue]" caption="Sum of Revenue" numFmtId="0" hierarchy="25" level="32767"/>
    <cacheField name="[Range].[Channel].[Channel]" caption="Channel" numFmtId="0" hierarchy="6" level="1">
      <sharedItems containsSemiMixedTypes="0" containsNonDate="0" containsString="0"/>
    </cacheField>
  </cacheFields>
  <cacheHierarchies count="31">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3"/>
      </fieldsUsage>
    </cacheHierarchy>
    <cacheHierarchy uniqueName="[Range].[Region]" caption="Region" attribute="1" defaultMemberUniqueName="[Range].[Region].[All]" allUniqueName="[Range].[Region].[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0"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hidden="1">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hidden="1">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4421299" backgroundQuery="1" createdVersion="8" refreshedVersion="8" minRefreshableVersion="3" recordCount="0" supportSubquery="1" supportAdvancedDrill="1" xr:uid="{608D3196-E1EB-4F3C-AF17-53DDE21EA373}">
  <cacheSource type="external" connectionId="2"/>
  <cacheFields count="3">
    <cacheField name="[Range].[Region].[Region]" caption="Region" numFmtId="0" hierarchy="7" level="1">
      <sharedItems count="4">
        <s v="East"/>
        <s v="North"/>
        <s v="South"/>
        <s v="West"/>
      </sharedItems>
    </cacheField>
    <cacheField name="[Measures].[Sum of Ad Spend]" caption="Sum of Ad Spend" numFmtId="0" hierarchy="23" level="32767"/>
    <cacheField name="[Range].[Channel].[Channel]" caption="Channel" numFmtId="0" hierarchy="6" level="1">
      <sharedItems containsSemiMixedTypes="0" containsNonDate="0" containsString="0"/>
    </cacheField>
  </cacheFields>
  <cacheHierarchies count="31">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Date (Month)]" caption="Date (Month)" attribute="1" defaultMemberUniqueName="[Range].[Date (Month)].[All]" allUniqueName="[Range].[Date (Month)].[All]" dimensionUniqueName="[Range]" displayFolder="" count="2" memberValueDatatype="130" unbalanced="0"/>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0"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hidden="1">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5115738" backgroundQuery="1" createdVersion="8" refreshedVersion="8" minRefreshableVersion="3" recordCount="0" supportSubquery="1" supportAdvancedDrill="1" xr:uid="{D3624B85-E24A-46DF-A4A5-6F4FCB5C0878}">
  <cacheSource type="external" connectionId="2"/>
  <cacheFields count="3">
    <cacheField name="[Range].[Customer Type].[Customer Type]" caption="Customer Type" numFmtId="0" hierarchy="5" level="1">
      <sharedItems count="2">
        <s v="New"/>
        <s v="Returning"/>
      </sharedItems>
    </cacheField>
    <cacheField name="[Measures].[Count of Service Type]" caption="Count of Service Type" numFmtId="0" hierarchy="26" level="32767"/>
    <cacheField name="[Range].[Channel].[Channel]" caption="Channel" numFmtId="0" hierarchy="6" level="1">
      <sharedItems containsSemiMixedTypes="0" containsNonDate="0" containsString="0"/>
    </cacheField>
  </cacheFields>
  <cacheHierarchies count="31">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0"/>
      </fieldsUsage>
    </cacheHierarchy>
    <cacheHierarchy uniqueName="[Range].[Channel]" caption="Channel" attribute="1" defaultMemberUniqueName="[Range].[Channel].[All]" allUniqueName="[Range].[Channel].[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0"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hidden="1">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hidden="1">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10375925923" backgroundQuery="1" createdVersion="8" refreshedVersion="8" minRefreshableVersion="3" recordCount="0" supportSubquery="1" supportAdvancedDrill="1" xr:uid="{6DE3DC89-FDD8-4BAA-99DC-DAA9BBDD88CB}">
  <cacheSource type="external" connectionId="2"/>
  <cacheFields count="3">
    <cacheField name="[Range].[Channel].[Channel]" caption="Channel" numFmtId="0" hierarchy="6" level="1">
      <sharedItems count="4">
        <s v="Email"/>
        <s v="Google"/>
        <s v="Instagram"/>
        <s v="Referral"/>
      </sharedItems>
    </cacheField>
    <cacheField name="[Measures].[Sum of Ad Spend]" caption="Sum of Ad Spend" numFmtId="0" hierarchy="23" level="32767"/>
    <cacheField name="[Measures].[Sum of Conversions]" caption="Sum of Conversions" numFmtId="0" hierarchy="24" level="32767"/>
  </cacheFields>
  <cacheHierarchies count="31">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0"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hidden="1">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Sheet1" uniqueName="[Sheet1]" caption="Sheet1"/>
  </dimensions>
  <measureGroups count="2">
    <measureGroup name="Range" caption="Range"/>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dy Helwa" refreshedDate="46018.906341666669" backgroundQuery="1" createdVersion="3" refreshedVersion="8" minRefreshableVersion="3" recordCount="0" supportSubquery="1" supportAdvancedDrill="1" xr:uid="{46576844-3D58-4DA8-BAF1-ABE4E0E68416}">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Ad Spend]" caption="Ad Spend" attribute="1" defaultMemberUniqueName="[Range].[Ad Spend].[All]" allUniqueName="[Range].[Ad Spend].[All]" dimensionUniqueName="[Range]" displayFolder="" count="2" memberValueDatatype="5" unbalanced="0"/>
    <cacheHierarchy uniqueName="[Range].[Conversions]" caption="Conversions" attribute="1" defaultMemberUniqueName="[Range].[Conversions].[All]" allUniqueName="[Range].[Conversions].[All]" dimensionUniqueName="[Range]" displayFolder="" count="2" memberValueDatatype="20" unbalanced="0"/>
    <cacheHierarchy uniqueName="[Range].[Service Type]" caption="Service Type" attribute="1" defaultMemberUniqueName="[Range].[Service Type].[All]" allUniqueName="[Range].[Service Type].[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hannel]" caption="Channel" attribute="1" defaultMemberUniqueName="[Range].[Channel].[All]" allUniqueName="[Range].[Channel].[All]" dimensionUniqueName="[Range]" displayFolder="" count="2" memberValueDatatype="130" unbalanced="0"/>
    <cacheHierarchy uniqueName="[Range].[Region]" caption="Region" attribute="1" defaultMemberUniqueName="[Range].[Region].[All]" allUniqueName="[Range].[Region].[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Sheet1].[Date]" caption="Date" attribute="1" time="1" defaultMemberUniqueName="[Sheet1].[Date].[All]" allUniqueName="[Sheet1].[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5" unbalanced="0"/>
    <cacheHierarchy uniqueName="[Sheet1].[Ad Spend]" caption="Ad Spend" attribute="1" defaultMemberUniqueName="[Sheet1].[Ad Spend].[All]" allUniqueName="[Sheet1].[Ad Spend].[All]" dimensionUniqueName="[Sheet1]" displayFolder="" count="0" memberValueDatatype="5" unbalanced="0"/>
    <cacheHierarchy uniqueName="[Sheet1].[Conversions]" caption="Conversions" attribute="1" defaultMemberUniqueName="[Sheet1].[Conversions].[All]" allUniqueName="[Sheet1].[Conversions].[All]" dimensionUniqueName="[Sheet1]" displayFolder="" count="0" memberValueDatatype="20" unbalanced="0"/>
    <cacheHierarchy uniqueName="[Sheet1].[Service Type]" caption="Service Type" attribute="1" defaultMemberUniqueName="[Sheet1].[Service Type].[All]" allUniqueName="[Sheet1].[Service Type].[All]" dimensionUniqueName="[Sheet1]" displayFolder="" count="2" memberValueDatatype="130" unbalanced="0"/>
    <cacheHierarchy uniqueName="[Sheet1].[Customer Type]" caption="Customer Type" attribute="1" defaultMemberUniqueName="[Sheet1].[Customer Type].[All]" allUniqueName="[Sheet1].[Customer Type].[All]" dimensionUniqueName="[Sheet1]" displayFolder="" count="0" memberValueDatatype="130" unbalanced="0"/>
    <cacheHierarchy uniqueName="[Sheet1].[Channel]" caption="Channel" attribute="1" defaultMemberUniqueName="[Sheet1].[Channel].[All]" allUniqueName="[Sheet1].[Channel].[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Profit]" caption="Profit" attribute="1" defaultMemberUniqueName="[Sheet1].[Profit].[All]" allUniqueName="[Sheet1].[Profit].[All]" dimensionUniqueName="[Sheet1]" displayFolder="" count="0" memberValueDatatype="5" unbalanced="0"/>
    <cacheHierarchy uniqueName="[Sheet1].[ROI]" caption="ROI" attribute="1" defaultMemberUniqueName="[Sheet1].[ROI].[All]" allUniqueName="[Sheet1].[ROI].[All]" dimensionUniqueName="[Sheet1]" displayFolder="" count="2"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Ad Spend]" caption="Sum of Ad Spend" measure="1" displayFolder="" measureGroup="Range" count="0" hidden="1">
      <extLst>
        <ext xmlns:x15="http://schemas.microsoft.com/office/spreadsheetml/2010/11/main" uri="{B97F6D7D-B522-45F9-BDA1-12C45D357490}">
          <x15:cacheHierarchy aggregatedColumn="2"/>
        </ext>
      </extLst>
    </cacheHierarchy>
    <cacheHierarchy uniqueName="[Measures].[Sum of Conversions]" caption="Sum of Conversions" measure="1" displayFolder="" measureGroup="Rang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
        </ext>
      </extLst>
    </cacheHierarchy>
    <cacheHierarchy uniqueName="[Measures].[Count of Service Type]" caption="Count of Service Type" measure="1" displayFolder="" measureGroup="Range" count="0" hidden="1">
      <extLst>
        <ext xmlns:x15="http://schemas.microsoft.com/office/spreadsheetml/2010/11/main" uri="{B97F6D7D-B522-45F9-BDA1-12C45D357490}">
          <x15:cacheHierarchy aggregatedColumn="4"/>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5"/>
        </ext>
      </extLst>
    </cacheHierarchy>
    <cacheHierarchy uniqueName="[Measures].[Count of Channel]" caption="Count of Channel" measure="1" displayFolder="" measureGroup="Range" count="0" hidden="1">
      <extLst>
        <ext xmlns:x15="http://schemas.microsoft.com/office/spreadsheetml/2010/11/main" uri="{B97F6D7D-B522-45F9-BDA1-12C45D357490}">
          <x15:cacheHierarchy aggregatedColumn="6"/>
        </ext>
      </extLst>
    </cacheHierarchy>
    <cacheHierarchy uniqueName="[Measures].[Sum of ROI]" caption="Sum of ROI" measure="1" displayFolder="" measureGroup="Sheet1" count="0" hidden="1">
      <extLst>
        <ext xmlns:x15="http://schemas.microsoft.com/office/spreadsheetml/2010/11/main" uri="{B97F6D7D-B522-45F9-BDA1-12C45D357490}">
          <x15:cacheHierarchy aggregatedColumn="18"/>
        </ext>
      </extLst>
    </cacheHierarchy>
    <cacheHierarchy uniqueName="[Measures].[Sum of Ad Spend 2]" caption="Sum of Ad Spend 2" measure="1" displayFolder="" measureGroup="Sheet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890989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CD834-9C90-4686-8490-A2D2F42A9973}" name="PivotTable11" cacheId="5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8:N33" firstHeaderRow="1" firstDataRow="1" firstDataCol="1"/>
  <pivotFields count="4">
    <pivotField allDrilled="1" subtotalTop="0" showAll="0" sortType="ascending" defaultSubtotal="0" defaultAttributeDrillState="1">
      <items count="19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OI" fld="1" baseField="0" baseItem="0"/>
  </dataField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7C787A-9C78-4F6F-83DF-7D9F269DC91B}" name="PivotTable10"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1:Q25"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name="Sum of ROI" fld="0" baseField="0" baseItem="0"/>
  </dataField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2"/>
          </reference>
        </references>
      </pivotArea>
    </chartFormat>
    <chartFormat chart="7" format="4">
      <pivotArea type="data" outline="0" fieldPosition="0">
        <references count="2">
          <reference field="4294967294" count="1" selected="0">
            <x v="0"/>
          </reference>
          <reference field="1" count="1" selected="0">
            <x v="0"/>
          </reference>
        </references>
      </pivotArea>
    </chartFormat>
    <chartFormat chart="7" format="5">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579028-9D80-45A9-9EFF-89F8970A9FC2}" name="PivotTable9" cacheId="6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13:U18" firstHeaderRow="0"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Ad Spend" fld="1" baseField="0" baseItem="0"/>
    <dataField name="Sum of Conversions" fld="2"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1"/>
          </reference>
          <reference field="0" count="1" selected="0">
            <x v="2"/>
          </reference>
        </references>
      </pivotArea>
    </chartFormat>
    <chartFormat chart="0" format="6">
      <pivotArea type="data" outline="0" fieldPosition="0">
        <references count="2">
          <reference field="4294967294" count="1" selected="0">
            <x v="1"/>
          </reference>
          <reference field="0" count="1" selected="0">
            <x v="3"/>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0" count="1" selected="0">
            <x v="0"/>
          </reference>
        </references>
      </pivotArea>
    </chartFormat>
    <chartFormat chart="8" format="22">
      <pivotArea type="data" outline="0" fieldPosition="0">
        <references count="2">
          <reference field="4294967294" count="1" selected="0">
            <x v="0"/>
          </reference>
          <reference field="0" count="1" selected="0">
            <x v="1"/>
          </reference>
        </references>
      </pivotArea>
    </chartFormat>
    <chartFormat chart="8" format="23">
      <pivotArea type="data" outline="0" fieldPosition="0">
        <references count="2">
          <reference field="4294967294" count="1" selected="0">
            <x v="0"/>
          </reference>
          <reference field="0" count="1" selected="0">
            <x v="2"/>
          </reference>
        </references>
      </pivotArea>
    </chartFormat>
    <chartFormat chart="8" format="24">
      <pivotArea type="data" outline="0" fieldPosition="0">
        <references count="2">
          <reference field="4294967294" count="1" selected="0">
            <x v="0"/>
          </reference>
          <reference field="0" count="1" selected="0">
            <x v="3"/>
          </reference>
        </references>
      </pivotArea>
    </chartFormat>
    <chartFormat chart="8" format="25" series="1">
      <pivotArea type="data" outline="0" fieldPosition="0">
        <references count="1">
          <reference field="4294967294" count="1" selected="0">
            <x v="1"/>
          </reference>
        </references>
      </pivotArea>
    </chartFormat>
    <chartFormat chart="8" format="26">
      <pivotArea type="data" outline="0" fieldPosition="0">
        <references count="2">
          <reference field="4294967294" count="1" selected="0">
            <x v="1"/>
          </reference>
          <reference field="0" count="1" selected="0">
            <x v="0"/>
          </reference>
        </references>
      </pivotArea>
    </chartFormat>
    <chartFormat chart="8" format="27">
      <pivotArea type="data" outline="0" fieldPosition="0">
        <references count="2">
          <reference field="4294967294" count="1" selected="0">
            <x v="1"/>
          </reference>
          <reference field="0" count="1" selected="0">
            <x v="1"/>
          </reference>
        </references>
      </pivotArea>
    </chartFormat>
    <chartFormat chart="8" format="28">
      <pivotArea type="data" outline="0" fieldPosition="0">
        <references count="2">
          <reference field="4294967294" count="1" selected="0">
            <x v="1"/>
          </reference>
          <reference field="0" count="1" selected="0">
            <x v="2"/>
          </reference>
        </references>
      </pivotArea>
    </chartFormat>
    <chartFormat chart="8" format="29">
      <pivotArea type="data" outline="0" fieldPosition="0">
        <references count="2">
          <reference field="4294967294" count="1" selected="0">
            <x v="1"/>
          </reference>
          <reference field="0" count="1" selected="0">
            <x v="3"/>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5B6E3B-3301-4480-AEB4-60ABC5CFD7F0}" name="PivotTable8" cacheId="5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ervice Type" fld="1" subtotal="count" baseField="0" baseItem="0"/>
  </dataField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0CF81E-EA56-4F0D-814B-84565F8C0120}" name="PivotTable4" cacheId="5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P13:Q1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Ad Spend" fld="1"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 (2)!$A$1:$H$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6EC7AB-743E-47A1-B17E-88A33972BF00}" name="PivotTable3" cacheId="5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4:Q9" firstHeaderRow="1" firstDataRow="1" firstDataCol="1"/>
  <pivotFields count="4">
    <pivotField axis="axisRow"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1"/>
    <field x="0"/>
  </rowFields>
  <rowItems count="5">
    <i>
      <x v="2"/>
    </i>
    <i>
      <x/>
    </i>
    <i>
      <x v="3"/>
    </i>
    <i>
      <x v="1"/>
    </i>
    <i t="grand">
      <x/>
    </i>
  </rowItems>
  <colItems count="1">
    <i/>
  </colItems>
  <dataFields count="1">
    <dataField name="Sum of Revenue" fld="2" baseField="0" baseItem="0"/>
  </dataField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 (2)!$A$1:$H$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9F84B1-8A3A-4BAB-BBF8-4B17D9FACABC}" name="PivotTable2" cacheId="5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M13:N18" firstHeaderRow="1" firstDataRow="1" firstDataCol="1"/>
  <pivotFields count="4">
    <pivotField axis="axisRow"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Sum of Conversions" fld="2" baseField="0" baseItem="0"/>
  </dataFields>
  <chartFormats count="1">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 (2)!$A$1:$H$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64D69D-1054-4A79-B725-E18496236D00}" name="PivotTable1" cacheId="5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M4:N9" firstHeaderRow="1" firstDataRow="1" firstDataCol="1"/>
  <pivotFields count="4">
    <pivotField axis="axisRow" allDrilled="1" subtotalTop="0" showAll="0" dataSourceSort="1" defaultSubtotal="0" defaultAttributeDrillState="1">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axis="axisRow" allDrilled="1" subtotalTop="0" showAll="0"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1"/>
    <field x="0"/>
  </rowFields>
  <rowItems count="5">
    <i>
      <x/>
    </i>
    <i>
      <x v="2"/>
    </i>
    <i>
      <x v="3"/>
    </i>
    <i>
      <x v="1"/>
    </i>
    <i t="grand">
      <x/>
    </i>
  </rowItems>
  <colItems count="1">
    <i/>
  </colItems>
  <dataFields count="1">
    <dataField name="Sum of Ad Spend" fld="2" baseField="0" baseItem="0"/>
  </dataFields>
  <chartFormats count="1">
    <chartFormat chart="7"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 (2)!$A$1:$H$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8290C5-C840-4F8F-BF64-2637D38B761F}" autoFormatId="16" applyNumberFormats="0" applyBorderFormats="0" applyFontFormats="0" applyPatternFormats="0" applyAlignmentFormats="0" applyWidthHeightFormats="0">
  <queryTableRefresh nextId="11" unboundColumnsRight="2">
    <queryTableFields count="10">
      <queryTableField id="1" name="Date" tableColumnId="1"/>
      <queryTableField id="2" name="Revenue" tableColumnId="2"/>
      <queryTableField id="3" name="Ad Spend" tableColumnId="3"/>
      <queryTableField id="4" name="Conversions" tableColumnId="4"/>
      <queryTableField id="5" name="Service Type" tableColumnId="5"/>
      <queryTableField id="6" name="Customer Type" tableColumnId="6"/>
      <queryTableField id="7" name="Channel" tableColumnId="7"/>
      <queryTableField id="8" name="Region"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09A2FB6-F5DC-410E-B75C-F6ED43F1CE70}" sourceName="[Range].[Channel]">
  <pivotTables>
    <pivotTable tabId="2" name="PivotTable10"/>
    <pivotTable tabId="2" name="PivotTable1"/>
    <pivotTable tabId="2" name="PivotTable11"/>
    <pivotTable tabId="2" name="PivotTable2"/>
    <pivotTable tabId="2" name="PivotTable3"/>
    <pivotTable tabId="2" name="PivotTable4"/>
    <pivotTable tabId="2" name="PivotTable8"/>
    <pivotTable tabId="2" name="PivotTable9"/>
  </pivotTables>
  <data>
    <olap pivotCacheId="989098949">
      <levels count="2">
        <level uniqueName="[Range].[Channel].[(All)]" sourceCaption="(All)" count="0"/>
        <level uniqueName="[Range].[Channel].[Channel]" sourceCaption="Channel" count="4">
          <ranges>
            <range startItem="0">
              <i n="[Range].[Channel].&amp;[Email]" c="Email"/>
              <i n="[Range].[Channel].&amp;[Google]" c="Google"/>
              <i n="[Range].[Channel].&amp;[Instagram]" c="Instagram"/>
              <i n="[Range].[Channel].&amp;[Referral]" c="Referral"/>
            </range>
          </ranges>
        </level>
      </levels>
      <selections count="1">
        <selection n="[Range].[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8E46743-5259-4828-92A2-46C0E91283DC}" sourceName="[Range].[Date (Month)]">
  <pivotTables>
    <pivotTable tabId="2" name="PivotTable10"/>
    <pivotTable tabId="2" name="PivotTable1"/>
    <pivotTable tabId="2" name="PivotTable11"/>
    <pivotTable tabId="2" name="PivotTable2"/>
    <pivotTable tabId="2" name="PivotTable3"/>
    <pivotTable tabId="2" name="PivotTable4"/>
    <pivotTable tabId="2" name="PivotTable8"/>
    <pivotTable tabId="2" name="PivotTable9"/>
  </pivotTables>
  <data>
    <olap pivotCacheId="989098949">
      <levels count="2">
        <level uniqueName="[Range].[Date (Month)].[(All)]" sourceCaption="(All)" count="0"/>
        <level uniqueName="[Range].[Date (Month)].[Date (Month)]" sourceCaption="Date (Month)" count="4">
          <ranges>
            <range startItem="0">
              <i n="[Range].[Date (Month)].&amp;[Jan]" c="Jan"/>
              <i n="[Range].[Date (Month)].&amp;[Feb]" c="Feb"/>
              <i n="[Range].[Date (Month)].&amp;[Mar]" c="Mar"/>
              <i n="[Range].[Date (Month)].&amp;[Apr]" c="Apr"/>
            </range>
          </ranges>
        </level>
      </levels>
      <selections count="1">
        <selection n="[Range].[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436CDCE-1C40-4D34-88F2-0CE64573FEB0}" sourceName="[Range].[Customer Type]">
  <pivotTables>
    <pivotTable tabId="2" name="PivotTable10"/>
    <pivotTable tabId="2" name="PivotTable1"/>
    <pivotTable tabId="2" name="PivotTable11"/>
    <pivotTable tabId="2" name="PivotTable2"/>
    <pivotTable tabId="2" name="PivotTable3"/>
    <pivotTable tabId="2" name="PivotTable4"/>
    <pivotTable tabId="2" name="PivotTable8"/>
    <pivotTable tabId="2" name="PivotTable9"/>
  </pivotTables>
  <data>
    <olap pivotCacheId="989098949">
      <levels count="2">
        <level uniqueName="[Range].[Customer Type].[(All)]" sourceCaption="(All)" count="0"/>
        <level uniqueName="[Range].[Customer Type].[Customer Type]" sourceCaption="Customer Type" count="2">
          <ranges>
            <range startItem="0">
              <i n="[Range].[Customer Type].&amp;[New]" c="New"/>
              <i n="[Range].[Customer Type].&amp;[Returning]" c="Returning"/>
            </range>
          </ranges>
        </level>
      </levels>
      <selections count="1">
        <selection n="[Range].[Customer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DE82C914-03A8-4295-8CA6-6438F984EAA4}" sourceName="[Sheet1].[Service Type]">
  <pivotTables>
    <pivotTable tabId="2" name="PivotTable10"/>
    <pivotTable tabId="2" name="PivotTable1"/>
    <pivotTable tabId="2" name="PivotTable11"/>
    <pivotTable tabId="2" name="PivotTable2"/>
    <pivotTable tabId="2" name="PivotTable3"/>
    <pivotTable tabId="2" name="PivotTable4"/>
    <pivotTable tabId="2" name="PivotTable8"/>
    <pivotTable tabId="2" name="PivotTable9"/>
  </pivotTables>
  <data>
    <olap pivotCacheId="989098949">
      <levels count="2">
        <level uniqueName="[Sheet1].[Service Type].[(All)]" sourceCaption="(All)" count="0"/>
        <level uniqueName="[Sheet1].[Service Type].[Service Type]" sourceCaption="Service Type" count="4">
          <ranges>
            <range startItem="0">
              <i n="[Sheet1].[Service Type].&amp;[Premium]" c="Premium"/>
              <i n="[Sheet1].[Service Type].&amp;[Seasonal]" c="Seasonal"/>
              <i n="[Sheet1].[Service Type].&amp;[Standard]" c="Standard"/>
              <i n="[Sheet1].[Service Type].&amp;" c="(blank)"/>
            </range>
          </ranges>
        </level>
      </levels>
      <selections count="1">
        <selection n="[Sheet1].[Servic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E8A134EE-ADE5-43AE-90E3-36C80F02E2C1}" cache="Slicer_Channel" caption="Channel" level="1" rowHeight="234950"/>
  <slicer name="Date (Month)" xr10:uid="{9BCDC1D7-F666-4AB7-9C68-649F113D19DB}" cache="Slicer_Date__Month" caption="Date (Month)" level="1" rowHeight="234950"/>
  <slicer name="Customer Type" xr10:uid="{C4CF5B19-AAC0-4A5B-B1FB-78E70B1B86AE}" cache="Slicer_Customer_Type" caption="Customer Type" level="1" rowHeight="234950"/>
  <slicer name="Service Type" xr10:uid="{DA4EF7CD-68E2-4292-B61A-FBC760FF91BD}" cache="Slicer_Service_Type" caption="Service Typ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E8D178-E919-4C58-BAFB-56E3671778FD}" name="Sheet1" displayName="Sheet1" ref="A1:J2002" tableType="queryTable" totalsRowCount="1">
  <autoFilter ref="A1:J2001" xr:uid="{DEE8D178-E919-4C58-BAFB-56E3671778FD}"/>
  <tableColumns count="10">
    <tableColumn id="1" xr3:uid="{EFAA51A8-7E0B-4AAC-A729-2A7417DCDB2D}" uniqueName="1" name="Date" queryTableFieldId="1" dataDxfId="6"/>
    <tableColumn id="2" xr3:uid="{78410409-8736-47D0-8896-6BB4503B5C0A}" uniqueName="2" name="Revenue" queryTableFieldId="2"/>
    <tableColumn id="3" xr3:uid="{2B72B3E8-FB82-4817-8EEA-56EACAA920DD}" uniqueName="3" name="Ad Spend" queryTableFieldId="3"/>
    <tableColumn id="4" xr3:uid="{2AF5AF8F-8536-4068-A87E-71DDE15D2013}" uniqueName="4" name="Conversions" queryTableFieldId="4"/>
    <tableColumn id="5" xr3:uid="{5B959491-A9E4-48FC-BE9F-1A5E4F4F7A9E}" uniqueName="5" name="Service Type" queryTableFieldId="5" dataDxfId="11" totalsRowDxfId="4"/>
    <tableColumn id="6" xr3:uid="{3DA31DE0-1DA7-4865-BB1F-368791C6F4DA}" uniqueName="6" name="Customer Type" queryTableFieldId="6" dataDxfId="10" totalsRowDxfId="3"/>
    <tableColumn id="7" xr3:uid="{E7938434-D869-4B2A-9D37-21EAFC8D27C7}" uniqueName="7" name="Channel" queryTableFieldId="7" dataDxfId="9" totalsRowDxfId="2"/>
    <tableColumn id="8" xr3:uid="{1534F0E0-59E0-4FBC-8276-13C5C0B236D6}" uniqueName="8" name="Region" queryTableFieldId="8" dataDxfId="8" totalsRowDxfId="1"/>
    <tableColumn id="9" xr3:uid="{C3BEF1B4-BBC0-4509-9B45-A2C29AA2B2AB}" uniqueName="9" name="Profit" queryTableFieldId="9" dataDxfId="7" totalsRowDxfId="0">
      <calculatedColumnFormula>B2-C2</calculatedColumnFormula>
    </tableColumn>
    <tableColumn id="10" xr3:uid="{8CD9928E-190E-4755-A05E-E54D2DD6AEC3}" uniqueName="10" name="ROI" queryTableFieldId="10" dataDxfId="5">
      <calculatedColumnFormula>IF(C2=0,0,I2/C2)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A0DE4C-A1D3-43AF-AC13-9365A7343D34}">
  <we:reference id="wa200005502" version="1.0.0.12" store="en-US" storeType="OMEX"/>
  <we:alternateReferences>
    <we:reference id="wa200005502" version="1.0.0.12" store="wa200005502" storeType="OMEX"/>
  </we:alternateReferences>
  <we:properties>
    <we:property name="docId" value="&quot;uolLFUpRwQE3NBJzd0sbT&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B80E-00B4-4DF2-BEDA-4525C84DC795}">
  <dimension ref="A1:U2002"/>
  <sheetViews>
    <sheetView showGridLines="0" topLeftCell="I1" workbookViewId="0">
      <selection activeCell="Q22" sqref="Q22"/>
    </sheetView>
  </sheetViews>
  <sheetFormatPr defaultRowHeight="14.4" x14ac:dyDescent="0.3"/>
  <cols>
    <col min="1" max="2" width="10.5546875" bestFit="1" customWidth="1"/>
    <col min="3" max="3" width="11.33203125" bestFit="1" customWidth="1"/>
    <col min="4" max="4" width="13.44140625" bestFit="1" customWidth="1"/>
    <col min="5" max="5" width="13.77734375" bestFit="1" customWidth="1"/>
    <col min="6" max="6" width="16" bestFit="1" customWidth="1"/>
    <col min="7" max="7" width="10.109375" bestFit="1" customWidth="1"/>
    <col min="8" max="8" width="9" bestFit="1" customWidth="1"/>
    <col min="13" max="13" width="12.5546875" bestFit="1" customWidth="1"/>
    <col min="14" max="14" width="17.88671875" bestFit="1" customWidth="1"/>
    <col min="16" max="16" width="12.5546875" bestFit="1" customWidth="1"/>
    <col min="17" max="17" width="15.6640625" bestFit="1" customWidth="1"/>
    <col min="19" max="19" width="12.5546875" bestFit="1" customWidth="1"/>
    <col min="20" max="20" width="15.6640625" bestFit="1" customWidth="1"/>
    <col min="21" max="22" width="17.88671875" bestFit="1" customWidth="1"/>
  </cols>
  <sheetData>
    <row r="1" spans="1:21" x14ac:dyDescent="0.3">
      <c r="A1" t="s">
        <v>0</v>
      </c>
      <c r="B1" t="s">
        <v>1</v>
      </c>
      <c r="C1" t="s">
        <v>2</v>
      </c>
      <c r="D1" t="s">
        <v>3</v>
      </c>
      <c r="E1" t="s">
        <v>4</v>
      </c>
      <c r="F1" t="s">
        <v>5</v>
      </c>
      <c r="G1" t="s">
        <v>6</v>
      </c>
      <c r="H1" t="s">
        <v>7</v>
      </c>
      <c r="I1" t="s">
        <v>30</v>
      </c>
      <c r="J1" t="s">
        <v>35</v>
      </c>
    </row>
    <row r="2" spans="1:21" x14ac:dyDescent="0.3">
      <c r="A2" s="1">
        <v>45316</v>
      </c>
      <c r="B2">
        <v>709.37</v>
      </c>
      <c r="C2">
        <v>237.68</v>
      </c>
      <c r="D2">
        <v>10</v>
      </c>
      <c r="E2" s="2" t="s">
        <v>8</v>
      </c>
      <c r="F2" s="2" t="s">
        <v>9</v>
      </c>
      <c r="G2" s="2" t="s">
        <v>10</v>
      </c>
      <c r="H2" s="2" t="s">
        <v>11</v>
      </c>
      <c r="I2" s="2">
        <f t="shared" ref="I2:I65" si="0">B2-C2</f>
        <v>471.69</v>
      </c>
      <c r="J2" s="2">
        <f t="shared" ref="J2:J65" si="1">IF(C2=0,0,I2/C2)</f>
        <v>1.9845590710198586</v>
      </c>
    </row>
    <row r="3" spans="1:21" x14ac:dyDescent="0.3">
      <c r="A3" s="1">
        <v>45397</v>
      </c>
      <c r="B3">
        <v>959.87</v>
      </c>
      <c r="C3">
        <v>246.51</v>
      </c>
      <c r="D3">
        <v>10</v>
      </c>
      <c r="E3" s="2" t="s">
        <v>8</v>
      </c>
      <c r="F3" s="2" t="s">
        <v>9</v>
      </c>
      <c r="G3" s="2" t="s">
        <v>12</v>
      </c>
      <c r="H3" s="2" t="s">
        <v>11</v>
      </c>
      <c r="I3" s="2">
        <f t="shared" si="0"/>
        <v>713.36</v>
      </c>
      <c r="J3" s="2">
        <f t="shared" si="1"/>
        <v>2.8938379781753278</v>
      </c>
    </row>
    <row r="4" spans="1:21" x14ac:dyDescent="0.3">
      <c r="A4" s="1">
        <v>45369</v>
      </c>
      <c r="B4">
        <v>1019.4</v>
      </c>
      <c r="C4">
        <v>47.05</v>
      </c>
      <c r="D4">
        <v>1</v>
      </c>
      <c r="E4" s="2" t="s">
        <v>13</v>
      </c>
      <c r="F4" s="2" t="s">
        <v>9</v>
      </c>
      <c r="G4" s="2" t="s">
        <v>14</v>
      </c>
      <c r="H4" s="2" t="s">
        <v>15</v>
      </c>
      <c r="I4" s="2">
        <f t="shared" si="0"/>
        <v>972.35</v>
      </c>
      <c r="J4" s="2">
        <f t="shared" si="1"/>
        <v>20.666312433581297</v>
      </c>
      <c r="M4" s="3" t="s">
        <v>21</v>
      </c>
      <c r="N4" t="s">
        <v>27</v>
      </c>
      <c r="P4" s="3" t="s">
        <v>21</v>
      </c>
      <c r="Q4" t="s">
        <v>29</v>
      </c>
      <c r="S4" s="3" t="s">
        <v>21</v>
      </c>
      <c r="T4" t="s">
        <v>37</v>
      </c>
    </row>
    <row r="5" spans="1:21" x14ac:dyDescent="0.3">
      <c r="A5" s="1">
        <v>45363</v>
      </c>
      <c r="B5">
        <v>224.84</v>
      </c>
      <c r="C5">
        <v>375.24</v>
      </c>
      <c r="D5">
        <v>3</v>
      </c>
      <c r="E5" s="2" t="s">
        <v>16</v>
      </c>
      <c r="F5" s="2" t="s">
        <v>9</v>
      </c>
      <c r="G5" s="2" t="s">
        <v>12</v>
      </c>
      <c r="H5" s="2" t="s">
        <v>15</v>
      </c>
      <c r="I5" s="2">
        <f t="shared" si="0"/>
        <v>-150.4</v>
      </c>
      <c r="J5" s="2">
        <f t="shared" si="1"/>
        <v>-0.40081014817183669</v>
      </c>
      <c r="M5" s="4" t="s">
        <v>23</v>
      </c>
      <c r="N5" s="2">
        <v>135917.51</v>
      </c>
      <c r="P5" s="4" t="s">
        <v>25</v>
      </c>
      <c r="Q5" s="2">
        <v>417783.83</v>
      </c>
      <c r="S5" s="4" t="s">
        <v>17</v>
      </c>
      <c r="T5" s="2">
        <v>1026</v>
      </c>
    </row>
    <row r="6" spans="1:21" x14ac:dyDescent="0.3">
      <c r="A6" s="1">
        <v>45317</v>
      </c>
      <c r="B6">
        <v>486.46</v>
      </c>
      <c r="C6">
        <v>296.52999999999997</v>
      </c>
      <c r="D6">
        <v>9</v>
      </c>
      <c r="E6" s="2" t="s">
        <v>13</v>
      </c>
      <c r="F6" s="2" t="s">
        <v>17</v>
      </c>
      <c r="G6" s="2" t="s">
        <v>14</v>
      </c>
      <c r="H6" s="2" t="s">
        <v>11</v>
      </c>
      <c r="I6" s="2">
        <f t="shared" si="0"/>
        <v>189.93</v>
      </c>
      <c r="J6" s="2">
        <f t="shared" si="1"/>
        <v>0.64050854888206932</v>
      </c>
      <c r="M6" s="4" t="s">
        <v>25</v>
      </c>
      <c r="N6" s="2">
        <v>130869.02</v>
      </c>
      <c r="P6" s="4" t="s">
        <v>23</v>
      </c>
      <c r="Q6" s="2">
        <v>415879.28</v>
      </c>
      <c r="S6" s="4" t="s">
        <v>9</v>
      </c>
      <c r="T6" s="2">
        <v>974</v>
      </c>
    </row>
    <row r="7" spans="1:21" x14ac:dyDescent="0.3">
      <c r="A7" s="1">
        <v>45359</v>
      </c>
      <c r="B7">
        <v>292.31</v>
      </c>
      <c r="C7">
        <v>291.85000000000002</v>
      </c>
      <c r="D7">
        <v>10</v>
      </c>
      <c r="E7" s="2" t="s">
        <v>16</v>
      </c>
      <c r="F7" s="2" t="s">
        <v>17</v>
      </c>
      <c r="G7" s="2" t="s">
        <v>14</v>
      </c>
      <c r="H7" s="2" t="s">
        <v>18</v>
      </c>
      <c r="I7" s="2">
        <f t="shared" si="0"/>
        <v>0.45999999999997954</v>
      </c>
      <c r="J7" s="2">
        <f t="shared" si="1"/>
        <v>1.5761521329449358E-3</v>
      </c>
      <c r="M7" s="4" t="s">
        <v>26</v>
      </c>
      <c r="N7" s="2">
        <v>120344.28</v>
      </c>
      <c r="P7" s="4" t="s">
        <v>26</v>
      </c>
      <c r="Q7" s="2">
        <v>383696.43</v>
      </c>
      <c r="S7" s="4" t="s">
        <v>22</v>
      </c>
      <c r="T7" s="2">
        <v>2000</v>
      </c>
    </row>
    <row r="8" spans="1:21" x14ac:dyDescent="0.3">
      <c r="A8" s="1">
        <v>45372</v>
      </c>
      <c r="B8">
        <v>498.26</v>
      </c>
      <c r="C8">
        <v>347.34</v>
      </c>
      <c r="D8">
        <v>5</v>
      </c>
      <c r="E8" s="2" t="s">
        <v>13</v>
      </c>
      <c r="F8" s="2" t="s">
        <v>9</v>
      </c>
      <c r="G8" s="2" t="s">
        <v>19</v>
      </c>
      <c r="H8" s="2" t="s">
        <v>15</v>
      </c>
      <c r="I8" s="2">
        <f t="shared" si="0"/>
        <v>150.92000000000002</v>
      </c>
      <c r="J8" s="2">
        <f t="shared" si="1"/>
        <v>0.43450221684804524</v>
      </c>
      <c r="M8" s="4" t="s">
        <v>24</v>
      </c>
      <c r="N8" s="2">
        <v>110527.54</v>
      </c>
      <c r="P8" s="4" t="s">
        <v>24</v>
      </c>
      <c r="Q8" s="2">
        <v>344328.17</v>
      </c>
    </row>
    <row r="9" spans="1:21" x14ac:dyDescent="0.3">
      <c r="A9" s="1">
        <v>45379</v>
      </c>
      <c r="B9">
        <v>1345.81</v>
      </c>
      <c r="C9">
        <v>130.51</v>
      </c>
      <c r="D9">
        <v>9</v>
      </c>
      <c r="E9" s="2" t="s">
        <v>16</v>
      </c>
      <c r="F9" s="2" t="s">
        <v>9</v>
      </c>
      <c r="G9" s="2" t="s">
        <v>19</v>
      </c>
      <c r="H9" s="2" t="s">
        <v>20</v>
      </c>
      <c r="I9" s="2">
        <f t="shared" si="0"/>
        <v>1215.3</v>
      </c>
      <c r="J9" s="2">
        <f t="shared" si="1"/>
        <v>9.3119301202972959</v>
      </c>
      <c r="M9" s="4" t="s">
        <v>22</v>
      </c>
      <c r="N9" s="2">
        <v>497658.35</v>
      </c>
      <c r="P9" s="4" t="s">
        <v>22</v>
      </c>
      <c r="Q9" s="2">
        <v>1561687.71</v>
      </c>
    </row>
    <row r="10" spans="1:21" x14ac:dyDescent="0.3">
      <c r="A10" s="1">
        <v>45322</v>
      </c>
      <c r="B10">
        <v>809.52</v>
      </c>
      <c r="C10">
        <v>314.77</v>
      </c>
      <c r="D10">
        <v>2</v>
      </c>
      <c r="E10" s="2" t="s">
        <v>13</v>
      </c>
      <c r="F10" s="2" t="s">
        <v>9</v>
      </c>
      <c r="G10" s="2" t="s">
        <v>14</v>
      </c>
      <c r="H10" s="2" t="s">
        <v>11</v>
      </c>
      <c r="I10" s="2">
        <f t="shared" si="0"/>
        <v>494.75</v>
      </c>
      <c r="J10" s="2">
        <f t="shared" si="1"/>
        <v>1.5717825714013407</v>
      </c>
    </row>
    <row r="11" spans="1:21" x14ac:dyDescent="0.3">
      <c r="A11" s="1">
        <v>45313</v>
      </c>
      <c r="B11">
        <v>1137.54</v>
      </c>
      <c r="C11">
        <v>177.38</v>
      </c>
      <c r="D11">
        <v>7</v>
      </c>
      <c r="E11" s="2" t="s">
        <v>16</v>
      </c>
      <c r="F11" s="2" t="s">
        <v>9</v>
      </c>
      <c r="G11" s="2" t="s">
        <v>19</v>
      </c>
      <c r="H11" s="2" t="s">
        <v>18</v>
      </c>
      <c r="I11" s="2">
        <f t="shared" si="0"/>
        <v>960.16</v>
      </c>
      <c r="J11" s="2">
        <f t="shared" si="1"/>
        <v>5.4130116134851729</v>
      </c>
    </row>
    <row r="12" spans="1:21" x14ac:dyDescent="0.3">
      <c r="A12" s="1">
        <v>45324</v>
      </c>
      <c r="B12">
        <v>1186.03</v>
      </c>
      <c r="C12">
        <v>376.96</v>
      </c>
      <c r="D12">
        <v>6</v>
      </c>
      <c r="E12" s="2" t="s">
        <v>8</v>
      </c>
      <c r="F12" s="2" t="s">
        <v>17</v>
      </c>
      <c r="G12" s="2" t="s">
        <v>10</v>
      </c>
      <c r="H12" s="2" t="s">
        <v>11</v>
      </c>
      <c r="I12" s="2">
        <f t="shared" si="0"/>
        <v>809.06999999999994</v>
      </c>
      <c r="J12" s="2">
        <f t="shared" si="1"/>
        <v>2.1463019949066213</v>
      </c>
    </row>
    <row r="13" spans="1:21" x14ac:dyDescent="0.3">
      <c r="A13" s="1">
        <v>45319</v>
      </c>
      <c r="B13">
        <v>194.19</v>
      </c>
      <c r="C13">
        <v>458.99</v>
      </c>
      <c r="D13">
        <v>8</v>
      </c>
      <c r="E13" s="2" t="s">
        <v>13</v>
      </c>
      <c r="F13" s="2" t="s">
        <v>17</v>
      </c>
      <c r="G13" s="2" t="s">
        <v>10</v>
      </c>
      <c r="H13" s="2" t="s">
        <v>15</v>
      </c>
      <c r="I13" s="2">
        <f t="shared" si="0"/>
        <v>-264.8</v>
      </c>
      <c r="J13" s="2">
        <f t="shared" si="1"/>
        <v>-0.57691888712172379</v>
      </c>
      <c r="M13" s="3" t="s">
        <v>21</v>
      </c>
      <c r="N13" t="s">
        <v>28</v>
      </c>
      <c r="P13" s="3" t="s">
        <v>21</v>
      </c>
      <c r="Q13" t="s">
        <v>27</v>
      </c>
      <c r="S13" s="3" t="s">
        <v>21</v>
      </c>
      <c r="T13" t="s">
        <v>27</v>
      </c>
      <c r="U13" t="s">
        <v>28</v>
      </c>
    </row>
    <row r="14" spans="1:21" x14ac:dyDescent="0.3">
      <c r="A14" s="1">
        <v>45292</v>
      </c>
      <c r="B14">
        <v>330.01</v>
      </c>
      <c r="C14">
        <v>295.44</v>
      </c>
      <c r="D14">
        <v>1</v>
      </c>
      <c r="E14" s="2" t="s">
        <v>13</v>
      </c>
      <c r="F14" s="2" t="s">
        <v>17</v>
      </c>
      <c r="G14" s="2" t="s">
        <v>12</v>
      </c>
      <c r="H14" s="2" t="s">
        <v>20</v>
      </c>
      <c r="I14" s="2">
        <f t="shared" si="0"/>
        <v>34.569999999999993</v>
      </c>
      <c r="J14" s="2">
        <f t="shared" si="1"/>
        <v>0.11701191443271051</v>
      </c>
      <c r="M14" s="4" t="s">
        <v>23</v>
      </c>
      <c r="N14" s="2">
        <v>2584</v>
      </c>
      <c r="P14" s="4" t="s">
        <v>11</v>
      </c>
      <c r="Q14" s="2">
        <v>127838.45</v>
      </c>
      <c r="S14" s="4" t="s">
        <v>19</v>
      </c>
      <c r="T14" s="2">
        <v>126573.82</v>
      </c>
      <c r="U14" s="2">
        <v>2706</v>
      </c>
    </row>
    <row r="15" spans="1:21" x14ac:dyDescent="0.3">
      <c r="A15" s="1">
        <v>45304</v>
      </c>
      <c r="B15">
        <v>1090.68</v>
      </c>
      <c r="C15">
        <v>435.69</v>
      </c>
      <c r="D15">
        <v>4</v>
      </c>
      <c r="E15" s="2" t="s">
        <v>13</v>
      </c>
      <c r="F15" s="2" t="s">
        <v>9</v>
      </c>
      <c r="G15" s="2" t="s">
        <v>19</v>
      </c>
      <c r="H15" s="2" t="s">
        <v>11</v>
      </c>
      <c r="I15" s="2">
        <f t="shared" si="0"/>
        <v>654.99</v>
      </c>
      <c r="J15" s="2">
        <f t="shared" si="1"/>
        <v>1.5033395304000552</v>
      </c>
      <c r="M15" s="4" t="s">
        <v>24</v>
      </c>
      <c r="N15" s="2">
        <v>2122</v>
      </c>
      <c r="P15" s="4" t="s">
        <v>20</v>
      </c>
      <c r="Q15" s="2">
        <v>126420.88</v>
      </c>
      <c r="S15" s="4" t="s">
        <v>14</v>
      </c>
      <c r="T15" s="2">
        <v>124095.94</v>
      </c>
      <c r="U15" s="2">
        <v>2497</v>
      </c>
    </row>
    <row r="16" spans="1:21" x14ac:dyDescent="0.3">
      <c r="A16" s="1">
        <v>45298</v>
      </c>
      <c r="B16">
        <v>1341.22</v>
      </c>
      <c r="C16">
        <v>410.9</v>
      </c>
      <c r="D16">
        <v>6</v>
      </c>
      <c r="E16" s="2" t="s">
        <v>8</v>
      </c>
      <c r="F16" s="2" t="s">
        <v>9</v>
      </c>
      <c r="G16" s="2" t="s">
        <v>10</v>
      </c>
      <c r="H16" s="2" t="s">
        <v>15</v>
      </c>
      <c r="I16" s="2">
        <f t="shared" si="0"/>
        <v>930.32</v>
      </c>
      <c r="J16" s="2">
        <f t="shared" si="1"/>
        <v>2.2641031881236313</v>
      </c>
      <c r="M16" s="4" t="s">
        <v>25</v>
      </c>
      <c r="N16" s="2">
        <v>2732</v>
      </c>
      <c r="P16" s="4" t="s">
        <v>18</v>
      </c>
      <c r="Q16" s="2">
        <v>125105.65</v>
      </c>
      <c r="S16" s="4" t="s">
        <v>10</v>
      </c>
      <c r="T16" s="2">
        <v>125700.59</v>
      </c>
      <c r="U16" s="2">
        <v>2389</v>
      </c>
    </row>
    <row r="17" spans="1:21" x14ac:dyDescent="0.3">
      <c r="A17" s="1">
        <v>45382</v>
      </c>
      <c r="B17">
        <v>1077.76</v>
      </c>
      <c r="C17">
        <v>316.60000000000002</v>
      </c>
      <c r="D17">
        <v>6</v>
      </c>
      <c r="E17" s="2" t="s">
        <v>16</v>
      </c>
      <c r="F17" s="2" t="s">
        <v>17</v>
      </c>
      <c r="G17" s="2" t="s">
        <v>14</v>
      </c>
      <c r="H17" s="2" t="s">
        <v>11</v>
      </c>
      <c r="I17" s="2">
        <f t="shared" si="0"/>
        <v>761.16</v>
      </c>
      <c r="J17" s="2">
        <f t="shared" si="1"/>
        <v>2.4041692987997472</v>
      </c>
      <c r="M17" s="4" t="s">
        <v>26</v>
      </c>
      <c r="N17" s="2">
        <v>2501</v>
      </c>
      <c r="P17" s="4" t="s">
        <v>15</v>
      </c>
      <c r="Q17" s="2">
        <v>118293.37</v>
      </c>
      <c r="S17" s="4" t="s">
        <v>12</v>
      </c>
      <c r="T17" s="2">
        <v>121288</v>
      </c>
      <c r="U17" s="2">
        <v>2347</v>
      </c>
    </row>
    <row r="18" spans="1:21" x14ac:dyDescent="0.3">
      <c r="A18" s="1">
        <v>45374</v>
      </c>
      <c r="B18">
        <v>996.85</v>
      </c>
      <c r="C18">
        <v>420.31</v>
      </c>
      <c r="D18">
        <v>7</v>
      </c>
      <c r="E18" s="2" t="s">
        <v>13</v>
      </c>
      <c r="F18" s="2" t="s">
        <v>9</v>
      </c>
      <c r="G18" s="2" t="s">
        <v>19</v>
      </c>
      <c r="H18" s="2" t="s">
        <v>15</v>
      </c>
      <c r="I18" s="2">
        <f t="shared" si="0"/>
        <v>576.54</v>
      </c>
      <c r="J18" s="2">
        <f t="shared" si="1"/>
        <v>1.3717018391187457</v>
      </c>
      <c r="M18" s="4" t="s">
        <v>22</v>
      </c>
      <c r="N18" s="2">
        <v>9939</v>
      </c>
      <c r="P18" s="4" t="s">
        <v>22</v>
      </c>
      <c r="Q18" s="2">
        <v>497658.35</v>
      </c>
      <c r="S18" s="4" t="s">
        <v>22</v>
      </c>
      <c r="T18" s="2">
        <v>497658.35</v>
      </c>
      <c r="U18" s="2">
        <v>9939</v>
      </c>
    </row>
    <row r="19" spans="1:21" x14ac:dyDescent="0.3">
      <c r="A19" s="1">
        <v>45322</v>
      </c>
      <c r="B19">
        <v>1170.33</v>
      </c>
      <c r="C19">
        <v>129.16999999999999</v>
      </c>
      <c r="D19">
        <v>8</v>
      </c>
      <c r="E19" s="2" t="s">
        <v>13</v>
      </c>
      <c r="F19" s="2" t="s">
        <v>17</v>
      </c>
      <c r="G19" s="2" t="s">
        <v>12</v>
      </c>
      <c r="H19" s="2" t="s">
        <v>20</v>
      </c>
      <c r="I19" s="2">
        <f t="shared" si="0"/>
        <v>1041.1599999999999</v>
      </c>
      <c r="J19" s="2">
        <f t="shared" si="1"/>
        <v>8.0603855384377177</v>
      </c>
    </row>
    <row r="20" spans="1:21" x14ac:dyDescent="0.3">
      <c r="A20" s="1">
        <v>45320</v>
      </c>
      <c r="B20">
        <v>88.11</v>
      </c>
      <c r="C20">
        <v>456.37</v>
      </c>
      <c r="D20">
        <v>2</v>
      </c>
      <c r="E20" s="2" t="s">
        <v>13</v>
      </c>
      <c r="F20" s="2" t="s">
        <v>9</v>
      </c>
      <c r="G20" s="2" t="s">
        <v>19</v>
      </c>
      <c r="H20" s="2" t="s">
        <v>15</v>
      </c>
      <c r="I20" s="2">
        <f t="shared" si="0"/>
        <v>-368.26</v>
      </c>
      <c r="J20" s="2">
        <f t="shared" si="1"/>
        <v>-0.80693297105418849</v>
      </c>
    </row>
    <row r="21" spans="1:21" x14ac:dyDescent="0.3">
      <c r="A21" s="1">
        <v>45398</v>
      </c>
      <c r="B21">
        <v>717.95</v>
      </c>
      <c r="C21">
        <v>107.67</v>
      </c>
      <c r="D21">
        <v>3</v>
      </c>
      <c r="E21" s="2" t="s">
        <v>13</v>
      </c>
      <c r="F21" s="2" t="s">
        <v>17</v>
      </c>
      <c r="G21" s="2" t="s">
        <v>19</v>
      </c>
      <c r="H21" s="2" t="s">
        <v>11</v>
      </c>
      <c r="I21" s="2">
        <f t="shared" si="0"/>
        <v>610.28000000000009</v>
      </c>
      <c r="J21" s="2">
        <f t="shared" si="1"/>
        <v>5.6680598123897097</v>
      </c>
      <c r="M21" s="5" t="s">
        <v>31</v>
      </c>
      <c r="N21">
        <f>SUM(B2:B2001)</f>
        <v>1561687.7100000007</v>
      </c>
      <c r="P21" s="3" t="s">
        <v>21</v>
      </c>
      <c r="Q21" t="s">
        <v>38</v>
      </c>
    </row>
    <row r="22" spans="1:21" x14ac:dyDescent="0.3">
      <c r="A22" s="1">
        <v>45330</v>
      </c>
      <c r="B22">
        <v>255.91</v>
      </c>
      <c r="C22">
        <v>492.05</v>
      </c>
      <c r="D22">
        <v>3</v>
      </c>
      <c r="E22" s="2" t="s">
        <v>8</v>
      </c>
      <c r="F22" s="2" t="s">
        <v>17</v>
      </c>
      <c r="G22" s="2" t="s">
        <v>19</v>
      </c>
      <c r="H22" s="2" t="s">
        <v>20</v>
      </c>
      <c r="I22" s="2">
        <f t="shared" si="0"/>
        <v>-236.14000000000001</v>
      </c>
      <c r="J22" s="2">
        <f t="shared" si="1"/>
        <v>-0.47991057819327304</v>
      </c>
      <c r="M22" s="6" t="s">
        <v>32</v>
      </c>
      <c r="N22">
        <f>SUM(B2:B2001)</f>
        <v>1561687.7100000007</v>
      </c>
      <c r="P22" s="4" t="s">
        <v>13</v>
      </c>
      <c r="Q22" s="2">
        <v>3346.5105208431219</v>
      </c>
    </row>
    <row r="23" spans="1:21" x14ac:dyDescent="0.3">
      <c r="A23" s="1">
        <v>45313</v>
      </c>
      <c r="B23">
        <v>169.83</v>
      </c>
      <c r="C23">
        <v>16.97</v>
      </c>
      <c r="D23">
        <v>5</v>
      </c>
      <c r="E23" s="2" t="s">
        <v>13</v>
      </c>
      <c r="F23" s="2" t="s">
        <v>17</v>
      </c>
      <c r="G23" s="2" t="s">
        <v>10</v>
      </c>
      <c r="H23" s="2" t="s">
        <v>11</v>
      </c>
      <c r="I23" s="2">
        <f t="shared" si="0"/>
        <v>152.86000000000001</v>
      </c>
      <c r="J23" s="2">
        <f t="shared" si="1"/>
        <v>9.0076605774896894</v>
      </c>
      <c r="M23" s="6" t="s">
        <v>33</v>
      </c>
      <c r="N23">
        <f>SUM(D2:D2001)</f>
        <v>9939</v>
      </c>
      <c r="P23" s="4" t="s">
        <v>16</v>
      </c>
      <c r="Q23" s="2">
        <v>3647.1368607602003</v>
      </c>
    </row>
    <row r="24" spans="1:21" x14ac:dyDescent="0.3">
      <c r="A24" s="1">
        <v>45326</v>
      </c>
      <c r="B24">
        <v>294.81</v>
      </c>
      <c r="C24">
        <v>479.72</v>
      </c>
      <c r="D24">
        <v>3</v>
      </c>
      <c r="E24" s="2" t="s">
        <v>13</v>
      </c>
      <c r="F24" s="2" t="s">
        <v>9</v>
      </c>
      <c r="G24" s="2" t="s">
        <v>12</v>
      </c>
      <c r="H24" s="2" t="s">
        <v>18</v>
      </c>
      <c r="I24" s="2">
        <f t="shared" si="0"/>
        <v>-184.91000000000003</v>
      </c>
      <c r="J24" s="2">
        <f t="shared" si="1"/>
        <v>-0.38545401484199121</v>
      </c>
      <c r="M24" s="6" t="s">
        <v>34</v>
      </c>
      <c r="N24">
        <f>SUM(C2:C2001)</f>
        <v>497658.34999999992</v>
      </c>
      <c r="P24" s="4" t="s">
        <v>8</v>
      </c>
      <c r="Q24" s="2">
        <v>3827.7513134763362</v>
      </c>
    </row>
    <row r="25" spans="1:21" x14ac:dyDescent="0.3">
      <c r="A25" s="1">
        <v>45364</v>
      </c>
      <c r="B25">
        <v>1176.06</v>
      </c>
      <c r="C25">
        <v>331.03</v>
      </c>
      <c r="D25">
        <v>9</v>
      </c>
      <c r="E25" s="2" t="s">
        <v>8</v>
      </c>
      <c r="F25" s="2" t="s">
        <v>9</v>
      </c>
      <c r="G25" s="2" t="s">
        <v>19</v>
      </c>
      <c r="H25" s="2" t="s">
        <v>18</v>
      </c>
      <c r="I25" s="2">
        <f t="shared" si="0"/>
        <v>845.03</v>
      </c>
      <c r="J25" s="2">
        <f t="shared" si="1"/>
        <v>2.5527293598767486</v>
      </c>
      <c r="M25" s="6" t="s">
        <v>36</v>
      </c>
      <c r="N25">
        <f>SUM(J2:J2001)</f>
        <v>10821.398695079652</v>
      </c>
      <c r="P25" s="4" t="s">
        <v>22</v>
      </c>
      <c r="Q25" s="2">
        <v>10821.398695079652</v>
      </c>
    </row>
    <row r="26" spans="1:21" x14ac:dyDescent="0.3">
      <c r="A26" s="1">
        <v>45390</v>
      </c>
      <c r="B26">
        <v>513.70000000000005</v>
      </c>
      <c r="C26">
        <v>199.93</v>
      </c>
      <c r="D26">
        <v>4</v>
      </c>
      <c r="E26" s="2" t="s">
        <v>13</v>
      </c>
      <c r="F26" s="2" t="s">
        <v>9</v>
      </c>
      <c r="G26" s="2" t="s">
        <v>12</v>
      </c>
      <c r="H26" s="2" t="s">
        <v>18</v>
      </c>
      <c r="I26" s="2">
        <f t="shared" si="0"/>
        <v>313.77000000000004</v>
      </c>
      <c r="J26" s="2">
        <f t="shared" si="1"/>
        <v>1.5693992897514131</v>
      </c>
    </row>
    <row r="27" spans="1:21" x14ac:dyDescent="0.3">
      <c r="A27" s="1">
        <v>45360</v>
      </c>
      <c r="B27">
        <v>898.91</v>
      </c>
      <c r="C27">
        <v>354.49</v>
      </c>
      <c r="D27">
        <v>0</v>
      </c>
      <c r="E27" s="2" t="s">
        <v>8</v>
      </c>
      <c r="F27" s="2" t="s">
        <v>9</v>
      </c>
      <c r="G27" s="2" t="s">
        <v>10</v>
      </c>
      <c r="H27" s="2" t="s">
        <v>20</v>
      </c>
      <c r="I27" s="2">
        <f t="shared" si="0"/>
        <v>544.41999999999996</v>
      </c>
      <c r="J27" s="2">
        <f t="shared" si="1"/>
        <v>1.5357838020818639</v>
      </c>
    </row>
    <row r="28" spans="1:21" x14ac:dyDescent="0.3">
      <c r="A28" s="1">
        <v>45293</v>
      </c>
      <c r="B28">
        <v>514.13</v>
      </c>
      <c r="C28">
        <v>99.67</v>
      </c>
      <c r="D28">
        <v>5</v>
      </c>
      <c r="E28" s="2" t="s">
        <v>13</v>
      </c>
      <c r="F28" s="2" t="s">
        <v>9</v>
      </c>
      <c r="G28" s="2" t="s">
        <v>12</v>
      </c>
      <c r="H28" s="2" t="s">
        <v>11</v>
      </c>
      <c r="I28" s="2">
        <f t="shared" si="0"/>
        <v>414.46</v>
      </c>
      <c r="J28" s="2">
        <f t="shared" si="1"/>
        <v>4.1583224641316345</v>
      </c>
      <c r="M28" s="3" t="s">
        <v>21</v>
      </c>
      <c r="N28" t="s">
        <v>38</v>
      </c>
    </row>
    <row r="29" spans="1:21" x14ac:dyDescent="0.3">
      <c r="A29" s="1">
        <v>45322</v>
      </c>
      <c r="B29">
        <v>1060.5</v>
      </c>
      <c r="C29">
        <v>434.87</v>
      </c>
      <c r="D29">
        <v>6</v>
      </c>
      <c r="E29" s="2" t="s">
        <v>8</v>
      </c>
      <c r="F29" s="2" t="s">
        <v>17</v>
      </c>
      <c r="G29" s="2" t="s">
        <v>10</v>
      </c>
      <c r="H29" s="2" t="s">
        <v>18</v>
      </c>
      <c r="I29" s="2">
        <f t="shared" si="0"/>
        <v>625.63</v>
      </c>
      <c r="J29" s="2">
        <f t="shared" si="1"/>
        <v>1.4386598293742958</v>
      </c>
      <c r="M29" s="4" t="s">
        <v>18</v>
      </c>
      <c r="N29" s="2">
        <v>2836.3857979079603</v>
      </c>
    </row>
    <row r="30" spans="1:21" x14ac:dyDescent="0.3">
      <c r="A30" s="1">
        <v>45331</v>
      </c>
      <c r="B30">
        <v>686.22</v>
      </c>
      <c r="C30">
        <v>11.76</v>
      </c>
      <c r="D30">
        <v>8</v>
      </c>
      <c r="E30" s="2" t="s">
        <v>16</v>
      </c>
      <c r="F30" s="2" t="s">
        <v>17</v>
      </c>
      <c r="G30" s="2" t="s">
        <v>14</v>
      </c>
      <c r="H30" s="2" t="s">
        <v>11</v>
      </c>
      <c r="I30" s="2">
        <f t="shared" si="0"/>
        <v>674.46</v>
      </c>
      <c r="J30" s="2">
        <f t="shared" si="1"/>
        <v>57.352040816326536</v>
      </c>
      <c r="M30" s="4" t="s">
        <v>20</v>
      </c>
      <c r="N30" s="2">
        <v>2386.6669057213553</v>
      </c>
    </row>
    <row r="31" spans="1:21" x14ac:dyDescent="0.3">
      <c r="A31" s="1">
        <v>45330</v>
      </c>
      <c r="B31">
        <v>190.79</v>
      </c>
      <c r="C31">
        <v>213.04</v>
      </c>
      <c r="D31">
        <v>4</v>
      </c>
      <c r="E31" s="2" t="s">
        <v>16</v>
      </c>
      <c r="F31" s="2" t="s">
        <v>17</v>
      </c>
      <c r="G31" s="2" t="s">
        <v>19</v>
      </c>
      <c r="H31" s="2" t="s">
        <v>11</v>
      </c>
      <c r="I31" s="2">
        <f t="shared" si="0"/>
        <v>-22.25</v>
      </c>
      <c r="J31" s="2">
        <f t="shared" si="1"/>
        <v>-0.10444048066090875</v>
      </c>
      <c r="M31" s="4" t="s">
        <v>15</v>
      </c>
      <c r="N31" s="2">
        <v>2857.7837552657447</v>
      </c>
    </row>
    <row r="32" spans="1:21" x14ac:dyDescent="0.3">
      <c r="A32" s="1">
        <v>45356</v>
      </c>
      <c r="B32">
        <v>88.17</v>
      </c>
      <c r="C32">
        <v>359.11</v>
      </c>
      <c r="D32">
        <v>7</v>
      </c>
      <c r="E32" s="2" t="s">
        <v>13</v>
      </c>
      <c r="F32" s="2" t="s">
        <v>9</v>
      </c>
      <c r="G32" s="2" t="s">
        <v>10</v>
      </c>
      <c r="H32" s="2" t="s">
        <v>18</v>
      </c>
      <c r="I32" s="2">
        <f t="shared" si="0"/>
        <v>-270.94</v>
      </c>
      <c r="J32" s="2">
        <f t="shared" si="1"/>
        <v>-0.75447634429561972</v>
      </c>
      <c r="M32" s="4" t="s">
        <v>11</v>
      </c>
      <c r="N32" s="2">
        <v>2740.5622361846004</v>
      </c>
    </row>
    <row r="33" spans="1:14" x14ac:dyDescent="0.3">
      <c r="A33" s="1">
        <v>45338</v>
      </c>
      <c r="B33">
        <v>419.6</v>
      </c>
      <c r="C33">
        <v>197.42</v>
      </c>
      <c r="D33">
        <v>0</v>
      </c>
      <c r="E33" s="2" t="s">
        <v>8</v>
      </c>
      <c r="F33" s="2" t="s">
        <v>17</v>
      </c>
      <c r="G33" s="2" t="s">
        <v>10</v>
      </c>
      <c r="H33" s="2" t="s">
        <v>18</v>
      </c>
      <c r="I33" s="2">
        <f t="shared" si="0"/>
        <v>222.18000000000004</v>
      </c>
      <c r="J33" s="2">
        <f t="shared" si="1"/>
        <v>1.1254178907912069</v>
      </c>
      <c r="M33" s="4" t="s">
        <v>22</v>
      </c>
      <c r="N33" s="2">
        <v>10821.398695079652</v>
      </c>
    </row>
    <row r="34" spans="1:14" x14ac:dyDescent="0.3">
      <c r="A34" s="1">
        <v>45326</v>
      </c>
      <c r="B34">
        <v>1286.04</v>
      </c>
      <c r="C34">
        <v>220.17</v>
      </c>
      <c r="D34">
        <v>5</v>
      </c>
      <c r="E34" s="2" t="s">
        <v>13</v>
      </c>
      <c r="F34" s="2" t="s">
        <v>17</v>
      </c>
      <c r="G34" s="2" t="s">
        <v>14</v>
      </c>
      <c r="H34" s="2" t="s">
        <v>15</v>
      </c>
      <c r="I34" s="2">
        <f t="shared" si="0"/>
        <v>1065.8699999999999</v>
      </c>
      <c r="J34" s="2">
        <f t="shared" si="1"/>
        <v>4.841122768769587</v>
      </c>
    </row>
    <row r="35" spans="1:14" x14ac:dyDescent="0.3">
      <c r="A35" s="1">
        <v>45403</v>
      </c>
      <c r="B35">
        <v>781.6</v>
      </c>
      <c r="C35">
        <v>106.36</v>
      </c>
      <c r="D35">
        <v>9</v>
      </c>
      <c r="E35" s="2" t="s">
        <v>16</v>
      </c>
      <c r="F35" s="2" t="s">
        <v>17</v>
      </c>
      <c r="G35" s="2" t="s">
        <v>19</v>
      </c>
      <c r="H35" s="2" t="s">
        <v>11</v>
      </c>
      <c r="I35" s="2">
        <f t="shared" si="0"/>
        <v>675.24</v>
      </c>
      <c r="J35" s="2">
        <f t="shared" si="1"/>
        <v>6.3486273034975556</v>
      </c>
    </row>
    <row r="36" spans="1:14" x14ac:dyDescent="0.3">
      <c r="A36" s="1">
        <v>45379</v>
      </c>
      <c r="B36">
        <v>615.29999999999995</v>
      </c>
      <c r="C36">
        <v>401.89</v>
      </c>
      <c r="D36">
        <v>9</v>
      </c>
      <c r="E36" s="2" t="s">
        <v>8</v>
      </c>
      <c r="F36" s="2" t="s">
        <v>9</v>
      </c>
      <c r="G36" s="2" t="s">
        <v>19</v>
      </c>
      <c r="H36" s="2" t="s">
        <v>18</v>
      </c>
      <c r="I36" s="2">
        <f t="shared" si="0"/>
        <v>213.40999999999997</v>
      </c>
      <c r="J36" s="2">
        <f t="shared" si="1"/>
        <v>0.53101594963796062</v>
      </c>
    </row>
    <row r="37" spans="1:14" x14ac:dyDescent="0.3">
      <c r="A37" s="1">
        <v>45306</v>
      </c>
      <c r="B37">
        <v>196.61</v>
      </c>
      <c r="C37">
        <v>258.77</v>
      </c>
      <c r="D37">
        <v>7</v>
      </c>
      <c r="E37" s="2" t="s">
        <v>8</v>
      </c>
      <c r="F37" s="2" t="s">
        <v>17</v>
      </c>
      <c r="G37" s="2" t="s">
        <v>10</v>
      </c>
      <c r="H37" s="2" t="s">
        <v>15</v>
      </c>
      <c r="I37" s="2">
        <f t="shared" si="0"/>
        <v>-62.159999999999968</v>
      </c>
      <c r="J37" s="2">
        <f t="shared" si="1"/>
        <v>-0.24021331684507466</v>
      </c>
    </row>
    <row r="38" spans="1:14" x14ac:dyDescent="0.3">
      <c r="A38" s="1">
        <v>45319</v>
      </c>
      <c r="B38">
        <v>112.8</v>
      </c>
      <c r="C38">
        <v>186.93</v>
      </c>
      <c r="D38">
        <v>10</v>
      </c>
      <c r="E38" s="2" t="s">
        <v>16</v>
      </c>
      <c r="F38" s="2" t="s">
        <v>9</v>
      </c>
      <c r="G38" s="2" t="s">
        <v>14</v>
      </c>
      <c r="H38" s="2" t="s">
        <v>18</v>
      </c>
      <c r="I38" s="2">
        <f t="shared" si="0"/>
        <v>-74.13000000000001</v>
      </c>
      <c r="J38" s="2">
        <f t="shared" si="1"/>
        <v>-0.39656555930027287</v>
      </c>
    </row>
    <row r="39" spans="1:14" x14ac:dyDescent="0.3">
      <c r="A39" s="1">
        <v>45352</v>
      </c>
      <c r="B39">
        <v>506.92</v>
      </c>
      <c r="C39">
        <v>95.16</v>
      </c>
      <c r="D39">
        <v>3</v>
      </c>
      <c r="E39" s="2" t="s">
        <v>16</v>
      </c>
      <c r="F39" s="2" t="s">
        <v>17</v>
      </c>
      <c r="G39" s="2" t="s">
        <v>10</v>
      </c>
      <c r="H39" s="2" t="s">
        <v>20</v>
      </c>
      <c r="I39" s="2">
        <f t="shared" si="0"/>
        <v>411.76</v>
      </c>
      <c r="J39" s="2">
        <f t="shared" si="1"/>
        <v>4.3270281630937371</v>
      </c>
    </row>
    <row r="40" spans="1:14" x14ac:dyDescent="0.3">
      <c r="A40" s="1">
        <v>45292</v>
      </c>
      <c r="B40">
        <v>126.49</v>
      </c>
      <c r="C40">
        <v>191.36</v>
      </c>
      <c r="D40">
        <v>5</v>
      </c>
      <c r="E40" s="2" t="s">
        <v>16</v>
      </c>
      <c r="F40" s="2" t="s">
        <v>9</v>
      </c>
      <c r="G40" s="2" t="s">
        <v>19</v>
      </c>
      <c r="H40" s="2" t="s">
        <v>15</v>
      </c>
      <c r="I40" s="2">
        <f t="shared" si="0"/>
        <v>-64.870000000000019</v>
      </c>
      <c r="J40" s="2">
        <f t="shared" si="1"/>
        <v>-0.33899456521739135</v>
      </c>
    </row>
    <row r="41" spans="1:14" x14ac:dyDescent="0.3">
      <c r="A41" s="1">
        <v>45317</v>
      </c>
      <c r="B41">
        <v>205.19</v>
      </c>
      <c r="C41">
        <v>262.89999999999998</v>
      </c>
      <c r="D41">
        <v>3</v>
      </c>
      <c r="E41" s="2" t="s">
        <v>13</v>
      </c>
      <c r="F41" s="2" t="s">
        <v>9</v>
      </c>
      <c r="G41" s="2" t="s">
        <v>12</v>
      </c>
      <c r="H41" s="2" t="s">
        <v>11</v>
      </c>
      <c r="I41" s="2">
        <f t="shared" si="0"/>
        <v>-57.70999999999998</v>
      </c>
      <c r="J41" s="2">
        <f t="shared" si="1"/>
        <v>-0.21951312286040314</v>
      </c>
    </row>
    <row r="42" spans="1:14" x14ac:dyDescent="0.3">
      <c r="A42" s="1">
        <v>45376</v>
      </c>
      <c r="B42">
        <v>871.15</v>
      </c>
      <c r="C42">
        <v>230.82</v>
      </c>
      <c r="D42">
        <v>2</v>
      </c>
      <c r="E42" s="2" t="s">
        <v>13</v>
      </c>
      <c r="F42" s="2" t="s">
        <v>9</v>
      </c>
      <c r="G42" s="2" t="s">
        <v>19</v>
      </c>
      <c r="H42" s="2" t="s">
        <v>15</v>
      </c>
      <c r="I42" s="2">
        <f t="shared" si="0"/>
        <v>640.32999999999993</v>
      </c>
      <c r="J42" s="2">
        <f t="shared" si="1"/>
        <v>2.7741530196690061</v>
      </c>
    </row>
    <row r="43" spans="1:14" x14ac:dyDescent="0.3">
      <c r="A43" s="1">
        <v>45353</v>
      </c>
      <c r="B43">
        <v>535.51</v>
      </c>
      <c r="C43">
        <v>443.4</v>
      </c>
      <c r="D43">
        <v>1</v>
      </c>
      <c r="E43" s="2" t="s">
        <v>16</v>
      </c>
      <c r="F43" s="2" t="s">
        <v>9</v>
      </c>
      <c r="G43" s="2" t="s">
        <v>14</v>
      </c>
      <c r="H43" s="2" t="s">
        <v>15</v>
      </c>
      <c r="I43" s="2">
        <f t="shared" si="0"/>
        <v>92.110000000000014</v>
      </c>
      <c r="J43" s="2">
        <f t="shared" si="1"/>
        <v>0.20773567884528646</v>
      </c>
    </row>
    <row r="44" spans="1:14" x14ac:dyDescent="0.3">
      <c r="A44" s="1">
        <v>45336</v>
      </c>
      <c r="B44">
        <v>582.66999999999996</v>
      </c>
      <c r="C44">
        <v>51.52</v>
      </c>
      <c r="D44">
        <v>2</v>
      </c>
      <c r="E44" s="2" t="s">
        <v>16</v>
      </c>
      <c r="F44" s="2" t="s">
        <v>9</v>
      </c>
      <c r="G44" s="2" t="s">
        <v>10</v>
      </c>
      <c r="H44" s="2" t="s">
        <v>15</v>
      </c>
      <c r="I44" s="2">
        <f t="shared" si="0"/>
        <v>531.15</v>
      </c>
      <c r="J44" s="2">
        <f t="shared" si="1"/>
        <v>10.30958850931677</v>
      </c>
    </row>
    <row r="45" spans="1:14" x14ac:dyDescent="0.3">
      <c r="A45" s="1">
        <v>45404</v>
      </c>
      <c r="B45">
        <v>795.28</v>
      </c>
      <c r="C45">
        <v>152.37</v>
      </c>
      <c r="D45">
        <v>7</v>
      </c>
      <c r="E45" s="2" t="s">
        <v>16</v>
      </c>
      <c r="F45" s="2" t="s">
        <v>9</v>
      </c>
      <c r="G45" s="2" t="s">
        <v>10</v>
      </c>
      <c r="H45" s="2" t="s">
        <v>20</v>
      </c>
      <c r="I45" s="2">
        <f t="shared" si="0"/>
        <v>642.91</v>
      </c>
      <c r="J45" s="2">
        <f t="shared" si="1"/>
        <v>4.2194001443853777</v>
      </c>
    </row>
    <row r="46" spans="1:14" x14ac:dyDescent="0.3">
      <c r="A46" s="1">
        <v>45410</v>
      </c>
      <c r="B46">
        <v>344.57</v>
      </c>
      <c r="C46">
        <v>126.35</v>
      </c>
      <c r="D46">
        <v>2</v>
      </c>
      <c r="E46" s="2" t="s">
        <v>13</v>
      </c>
      <c r="F46" s="2" t="s">
        <v>9</v>
      </c>
      <c r="G46" s="2" t="s">
        <v>19</v>
      </c>
      <c r="H46" s="2" t="s">
        <v>15</v>
      </c>
      <c r="I46" s="2">
        <f t="shared" si="0"/>
        <v>218.22</v>
      </c>
      <c r="J46" s="2">
        <f t="shared" si="1"/>
        <v>1.7271072417886824</v>
      </c>
    </row>
    <row r="47" spans="1:14" x14ac:dyDescent="0.3">
      <c r="A47" s="1">
        <v>45359</v>
      </c>
      <c r="B47">
        <v>624.79</v>
      </c>
      <c r="C47">
        <v>167.66</v>
      </c>
      <c r="D47">
        <v>4</v>
      </c>
      <c r="E47" s="2" t="s">
        <v>8</v>
      </c>
      <c r="F47" s="2" t="s">
        <v>17</v>
      </c>
      <c r="G47" s="2" t="s">
        <v>14</v>
      </c>
      <c r="H47" s="2" t="s">
        <v>11</v>
      </c>
      <c r="I47" s="2">
        <f t="shared" si="0"/>
        <v>457.13</v>
      </c>
      <c r="J47" s="2">
        <f t="shared" si="1"/>
        <v>2.7265298819038533</v>
      </c>
    </row>
    <row r="48" spans="1:14" x14ac:dyDescent="0.3">
      <c r="A48" s="1">
        <v>45401</v>
      </c>
      <c r="B48">
        <v>957.46</v>
      </c>
      <c r="C48">
        <v>145.22999999999999</v>
      </c>
      <c r="D48">
        <v>8</v>
      </c>
      <c r="E48" s="2" t="s">
        <v>16</v>
      </c>
      <c r="F48" s="2" t="s">
        <v>17</v>
      </c>
      <c r="G48" s="2" t="s">
        <v>19</v>
      </c>
      <c r="H48" s="2" t="s">
        <v>15</v>
      </c>
      <c r="I48" s="2">
        <f t="shared" si="0"/>
        <v>812.23</v>
      </c>
      <c r="J48" s="2">
        <f t="shared" si="1"/>
        <v>5.592715003787097</v>
      </c>
    </row>
    <row r="49" spans="1:10" x14ac:dyDescent="0.3">
      <c r="A49" s="1">
        <v>45373</v>
      </c>
      <c r="B49">
        <v>265.95</v>
      </c>
      <c r="C49">
        <v>281.76</v>
      </c>
      <c r="D49">
        <v>5</v>
      </c>
      <c r="E49" s="2" t="s">
        <v>13</v>
      </c>
      <c r="F49" s="2" t="s">
        <v>17</v>
      </c>
      <c r="G49" s="2" t="s">
        <v>10</v>
      </c>
      <c r="H49" s="2" t="s">
        <v>20</v>
      </c>
      <c r="I49" s="2">
        <f t="shared" si="0"/>
        <v>-15.810000000000002</v>
      </c>
      <c r="J49" s="2">
        <f t="shared" si="1"/>
        <v>-5.6111584327086891E-2</v>
      </c>
    </row>
    <row r="50" spans="1:10" x14ac:dyDescent="0.3">
      <c r="A50" s="1">
        <v>45401</v>
      </c>
      <c r="B50">
        <v>392.25</v>
      </c>
      <c r="C50">
        <v>160.94999999999999</v>
      </c>
      <c r="D50">
        <v>7</v>
      </c>
      <c r="E50" s="2" t="s">
        <v>8</v>
      </c>
      <c r="F50" s="2" t="s">
        <v>17</v>
      </c>
      <c r="G50" s="2" t="s">
        <v>14</v>
      </c>
      <c r="H50" s="2" t="s">
        <v>11</v>
      </c>
      <c r="I50" s="2">
        <f t="shared" si="0"/>
        <v>231.3</v>
      </c>
      <c r="J50" s="2">
        <f t="shared" si="1"/>
        <v>1.4370922646784718</v>
      </c>
    </row>
    <row r="51" spans="1:10" x14ac:dyDescent="0.3">
      <c r="A51" s="1">
        <v>45359</v>
      </c>
      <c r="B51">
        <v>418.57</v>
      </c>
      <c r="C51">
        <v>174.91</v>
      </c>
      <c r="D51">
        <v>8</v>
      </c>
      <c r="E51" s="2" t="s">
        <v>16</v>
      </c>
      <c r="F51" s="2" t="s">
        <v>9</v>
      </c>
      <c r="G51" s="2" t="s">
        <v>10</v>
      </c>
      <c r="H51" s="2" t="s">
        <v>15</v>
      </c>
      <c r="I51" s="2">
        <f t="shared" si="0"/>
        <v>243.66</v>
      </c>
      <c r="J51" s="2">
        <f t="shared" si="1"/>
        <v>1.3930592876336401</v>
      </c>
    </row>
    <row r="52" spans="1:10" x14ac:dyDescent="0.3">
      <c r="A52" s="1">
        <v>45375</v>
      </c>
      <c r="B52">
        <v>533.25</v>
      </c>
      <c r="C52">
        <v>481.94</v>
      </c>
      <c r="D52">
        <v>4</v>
      </c>
      <c r="E52" s="2" t="s">
        <v>13</v>
      </c>
      <c r="F52" s="2" t="s">
        <v>17</v>
      </c>
      <c r="G52" s="2" t="s">
        <v>10</v>
      </c>
      <c r="H52" s="2" t="s">
        <v>11</v>
      </c>
      <c r="I52" s="2">
        <f t="shared" si="0"/>
        <v>51.31</v>
      </c>
      <c r="J52" s="2">
        <f t="shared" si="1"/>
        <v>0.10646553512885422</v>
      </c>
    </row>
    <row r="53" spans="1:10" x14ac:dyDescent="0.3">
      <c r="A53" s="1">
        <v>45352</v>
      </c>
      <c r="B53">
        <v>1471.8</v>
      </c>
      <c r="C53">
        <v>399.51</v>
      </c>
      <c r="D53">
        <v>8</v>
      </c>
      <c r="E53" s="2" t="s">
        <v>8</v>
      </c>
      <c r="F53" s="2" t="s">
        <v>9</v>
      </c>
      <c r="G53" s="2" t="s">
        <v>14</v>
      </c>
      <c r="H53" s="2" t="s">
        <v>15</v>
      </c>
      <c r="I53" s="2">
        <f t="shared" si="0"/>
        <v>1072.29</v>
      </c>
      <c r="J53" s="2">
        <f t="shared" si="1"/>
        <v>2.684012915821882</v>
      </c>
    </row>
    <row r="54" spans="1:10" x14ac:dyDescent="0.3">
      <c r="A54" s="1">
        <v>45390</v>
      </c>
      <c r="B54">
        <v>1302.56</v>
      </c>
      <c r="C54">
        <v>279.52999999999997</v>
      </c>
      <c r="D54">
        <v>8</v>
      </c>
      <c r="E54" s="2" t="s">
        <v>13</v>
      </c>
      <c r="F54" s="2" t="s">
        <v>17</v>
      </c>
      <c r="G54" s="2" t="s">
        <v>14</v>
      </c>
      <c r="H54" s="2" t="s">
        <v>15</v>
      </c>
      <c r="I54" s="2">
        <f t="shared" si="0"/>
        <v>1023.03</v>
      </c>
      <c r="J54" s="2">
        <f t="shared" si="1"/>
        <v>3.6598218438092514</v>
      </c>
    </row>
    <row r="55" spans="1:10" x14ac:dyDescent="0.3">
      <c r="A55" s="1">
        <v>45382</v>
      </c>
      <c r="B55">
        <v>444.08</v>
      </c>
      <c r="C55">
        <v>124.11</v>
      </c>
      <c r="D55">
        <v>9</v>
      </c>
      <c r="E55" s="2" t="s">
        <v>13</v>
      </c>
      <c r="F55" s="2" t="s">
        <v>9</v>
      </c>
      <c r="G55" s="2" t="s">
        <v>14</v>
      </c>
      <c r="H55" s="2" t="s">
        <v>15</v>
      </c>
      <c r="I55" s="2">
        <f t="shared" si="0"/>
        <v>319.96999999999997</v>
      </c>
      <c r="J55" s="2">
        <f t="shared" si="1"/>
        <v>2.5781161872532428</v>
      </c>
    </row>
    <row r="56" spans="1:10" x14ac:dyDescent="0.3">
      <c r="A56" s="1">
        <v>45326</v>
      </c>
      <c r="B56">
        <v>1096.95</v>
      </c>
      <c r="C56">
        <v>136.66</v>
      </c>
      <c r="D56">
        <v>0</v>
      </c>
      <c r="E56" s="2" t="s">
        <v>16</v>
      </c>
      <c r="F56" s="2" t="s">
        <v>9</v>
      </c>
      <c r="G56" s="2" t="s">
        <v>19</v>
      </c>
      <c r="H56" s="2" t="s">
        <v>20</v>
      </c>
      <c r="I56" s="2">
        <f t="shared" si="0"/>
        <v>960.29000000000008</v>
      </c>
      <c r="J56" s="2">
        <f t="shared" si="1"/>
        <v>7.0268549685350514</v>
      </c>
    </row>
    <row r="57" spans="1:10" x14ac:dyDescent="0.3">
      <c r="A57" s="1">
        <v>45300</v>
      </c>
      <c r="B57">
        <v>1493.42</v>
      </c>
      <c r="C57">
        <v>256.76</v>
      </c>
      <c r="D57">
        <v>9</v>
      </c>
      <c r="E57" s="2" t="s">
        <v>13</v>
      </c>
      <c r="F57" s="2" t="s">
        <v>9</v>
      </c>
      <c r="G57" s="2" t="s">
        <v>19</v>
      </c>
      <c r="H57" s="2" t="s">
        <v>15</v>
      </c>
      <c r="I57" s="2">
        <f t="shared" si="0"/>
        <v>1236.6600000000001</v>
      </c>
      <c r="J57" s="2">
        <f t="shared" si="1"/>
        <v>4.8164044243651665</v>
      </c>
    </row>
    <row r="58" spans="1:10" x14ac:dyDescent="0.3">
      <c r="A58" s="1">
        <v>45377</v>
      </c>
      <c r="B58">
        <v>732.71</v>
      </c>
      <c r="C58">
        <v>241.8</v>
      </c>
      <c r="D58">
        <v>7</v>
      </c>
      <c r="E58" s="2" t="s">
        <v>16</v>
      </c>
      <c r="F58" s="2" t="s">
        <v>17</v>
      </c>
      <c r="G58" s="2" t="s">
        <v>19</v>
      </c>
      <c r="H58" s="2" t="s">
        <v>20</v>
      </c>
      <c r="I58" s="2">
        <f t="shared" si="0"/>
        <v>490.91</v>
      </c>
      <c r="J58" s="2">
        <f t="shared" si="1"/>
        <v>2.0302315963606286</v>
      </c>
    </row>
    <row r="59" spans="1:10" x14ac:dyDescent="0.3">
      <c r="A59" s="1">
        <v>45328</v>
      </c>
      <c r="B59">
        <v>829.37</v>
      </c>
      <c r="C59">
        <v>445.12</v>
      </c>
      <c r="D59">
        <v>7</v>
      </c>
      <c r="E59" s="2" t="s">
        <v>13</v>
      </c>
      <c r="F59" s="2" t="s">
        <v>9</v>
      </c>
      <c r="G59" s="2" t="s">
        <v>14</v>
      </c>
      <c r="H59" s="2" t="s">
        <v>18</v>
      </c>
      <c r="I59" s="2">
        <f t="shared" si="0"/>
        <v>384.25</v>
      </c>
      <c r="J59" s="2">
        <f t="shared" si="1"/>
        <v>0.86325035945363049</v>
      </c>
    </row>
    <row r="60" spans="1:10" x14ac:dyDescent="0.3">
      <c r="A60" s="1">
        <v>45391</v>
      </c>
      <c r="B60">
        <v>965.94</v>
      </c>
      <c r="C60">
        <v>17.829999999999998</v>
      </c>
      <c r="D60">
        <v>5</v>
      </c>
      <c r="E60" s="2" t="s">
        <v>16</v>
      </c>
      <c r="F60" s="2" t="s">
        <v>9</v>
      </c>
      <c r="G60" s="2" t="s">
        <v>14</v>
      </c>
      <c r="H60" s="2" t="s">
        <v>15</v>
      </c>
      <c r="I60" s="2">
        <f t="shared" si="0"/>
        <v>948.11</v>
      </c>
      <c r="J60" s="2">
        <f t="shared" si="1"/>
        <v>53.174985978687609</v>
      </c>
    </row>
    <row r="61" spans="1:10" x14ac:dyDescent="0.3">
      <c r="A61" s="1">
        <v>45315</v>
      </c>
      <c r="B61">
        <v>957.12</v>
      </c>
      <c r="C61">
        <v>50.11</v>
      </c>
      <c r="D61">
        <v>10</v>
      </c>
      <c r="E61" s="2" t="s">
        <v>8</v>
      </c>
      <c r="F61" s="2" t="s">
        <v>17</v>
      </c>
      <c r="G61" s="2" t="s">
        <v>12</v>
      </c>
      <c r="H61" s="2" t="s">
        <v>11</v>
      </c>
      <c r="I61" s="2">
        <f t="shared" si="0"/>
        <v>907.01</v>
      </c>
      <c r="J61" s="2">
        <f t="shared" si="1"/>
        <v>18.100379165835161</v>
      </c>
    </row>
    <row r="62" spans="1:10" x14ac:dyDescent="0.3">
      <c r="A62" s="1">
        <v>45398</v>
      </c>
      <c r="B62">
        <v>1324.39</v>
      </c>
      <c r="C62">
        <v>410.39</v>
      </c>
      <c r="D62">
        <v>10</v>
      </c>
      <c r="E62" s="2" t="s">
        <v>13</v>
      </c>
      <c r="F62" s="2" t="s">
        <v>17</v>
      </c>
      <c r="G62" s="2" t="s">
        <v>12</v>
      </c>
      <c r="H62" s="2" t="s">
        <v>11</v>
      </c>
      <c r="I62" s="2">
        <f t="shared" si="0"/>
        <v>914.00000000000011</v>
      </c>
      <c r="J62" s="2">
        <f t="shared" si="1"/>
        <v>2.2271497843514707</v>
      </c>
    </row>
    <row r="63" spans="1:10" x14ac:dyDescent="0.3">
      <c r="A63" s="1">
        <v>45398</v>
      </c>
      <c r="B63">
        <v>1141.07</v>
      </c>
      <c r="C63">
        <v>287.24</v>
      </c>
      <c r="D63">
        <v>10</v>
      </c>
      <c r="E63" s="2" t="s">
        <v>8</v>
      </c>
      <c r="F63" s="2" t="s">
        <v>9</v>
      </c>
      <c r="G63" s="2" t="s">
        <v>12</v>
      </c>
      <c r="H63" s="2" t="s">
        <v>18</v>
      </c>
      <c r="I63" s="2">
        <f t="shared" si="0"/>
        <v>853.82999999999993</v>
      </c>
      <c r="J63" s="2">
        <f t="shared" si="1"/>
        <v>2.9725316808243973</v>
      </c>
    </row>
    <row r="64" spans="1:10" x14ac:dyDescent="0.3">
      <c r="A64" s="1">
        <v>45377</v>
      </c>
      <c r="B64">
        <v>305.35000000000002</v>
      </c>
      <c r="C64">
        <v>160.13</v>
      </c>
      <c r="D64">
        <v>7</v>
      </c>
      <c r="E64" s="2" t="s">
        <v>8</v>
      </c>
      <c r="F64" s="2" t="s">
        <v>17</v>
      </c>
      <c r="G64" s="2" t="s">
        <v>14</v>
      </c>
      <c r="H64" s="2" t="s">
        <v>15</v>
      </c>
      <c r="I64" s="2">
        <f t="shared" si="0"/>
        <v>145.22000000000003</v>
      </c>
      <c r="J64" s="2">
        <f t="shared" si="1"/>
        <v>0.90688815337538264</v>
      </c>
    </row>
    <row r="65" spans="1:10" x14ac:dyDescent="0.3">
      <c r="A65" s="1">
        <v>45392</v>
      </c>
      <c r="B65">
        <v>1045.1600000000001</v>
      </c>
      <c r="C65">
        <v>112.79</v>
      </c>
      <c r="D65">
        <v>3</v>
      </c>
      <c r="E65" s="2" t="s">
        <v>16</v>
      </c>
      <c r="F65" s="2" t="s">
        <v>17</v>
      </c>
      <c r="G65" s="2" t="s">
        <v>19</v>
      </c>
      <c r="H65" s="2" t="s">
        <v>18</v>
      </c>
      <c r="I65" s="2">
        <f t="shared" si="0"/>
        <v>932.37000000000012</v>
      </c>
      <c r="J65" s="2">
        <f t="shared" si="1"/>
        <v>8.2664243283979086</v>
      </c>
    </row>
    <row r="66" spans="1:10" x14ac:dyDescent="0.3">
      <c r="A66" s="1">
        <v>45402</v>
      </c>
      <c r="B66">
        <v>989.71</v>
      </c>
      <c r="C66">
        <v>122.59</v>
      </c>
      <c r="D66">
        <v>10</v>
      </c>
      <c r="E66" s="2" t="s">
        <v>13</v>
      </c>
      <c r="F66" s="2" t="s">
        <v>17</v>
      </c>
      <c r="G66" s="2" t="s">
        <v>14</v>
      </c>
      <c r="H66" s="2" t="s">
        <v>18</v>
      </c>
      <c r="I66" s="2">
        <f t="shared" ref="I66:I129" si="2">B66-C66</f>
        <v>867.12</v>
      </c>
      <c r="J66" s="2">
        <f t="shared" ref="J66:J129" si="3">IF(C66=0,0,I66/C66)</f>
        <v>7.0733338771514802</v>
      </c>
    </row>
    <row r="67" spans="1:10" x14ac:dyDescent="0.3">
      <c r="A67" s="1">
        <v>45318</v>
      </c>
      <c r="B67">
        <v>937.94</v>
      </c>
      <c r="C67">
        <v>230.43</v>
      </c>
      <c r="D67">
        <v>10</v>
      </c>
      <c r="E67" s="2" t="s">
        <v>16</v>
      </c>
      <c r="F67" s="2" t="s">
        <v>17</v>
      </c>
      <c r="G67" s="2" t="s">
        <v>14</v>
      </c>
      <c r="H67" s="2" t="s">
        <v>15</v>
      </c>
      <c r="I67" s="2">
        <f t="shared" si="2"/>
        <v>707.51</v>
      </c>
      <c r="J67" s="2">
        <f t="shared" si="3"/>
        <v>3.0703901401727203</v>
      </c>
    </row>
    <row r="68" spans="1:10" x14ac:dyDescent="0.3">
      <c r="A68" s="1">
        <v>45380</v>
      </c>
      <c r="B68">
        <v>1487.81</v>
      </c>
      <c r="C68">
        <v>96.35</v>
      </c>
      <c r="D68">
        <v>2</v>
      </c>
      <c r="E68" s="2" t="s">
        <v>13</v>
      </c>
      <c r="F68" s="2" t="s">
        <v>17</v>
      </c>
      <c r="G68" s="2" t="s">
        <v>10</v>
      </c>
      <c r="H68" s="2" t="s">
        <v>18</v>
      </c>
      <c r="I68" s="2">
        <f t="shared" si="2"/>
        <v>1391.46</v>
      </c>
      <c r="J68" s="2">
        <f t="shared" si="3"/>
        <v>14.441722885313961</v>
      </c>
    </row>
    <row r="69" spans="1:10" x14ac:dyDescent="0.3">
      <c r="A69" s="1">
        <v>45408</v>
      </c>
      <c r="B69">
        <v>524.94000000000005</v>
      </c>
      <c r="C69">
        <v>222.3</v>
      </c>
      <c r="D69">
        <v>10</v>
      </c>
      <c r="E69" s="2" t="s">
        <v>16</v>
      </c>
      <c r="F69" s="2" t="s">
        <v>9</v>
      </c>
      <c r="G69" s="2" t="s">
        <v>19</v>
      </c>
      <c r="H69" s="2" t="s">
        <v>20</v>
      </c>
      <c r="I69" s="2">
        <f t="shared" si="2"/>
        <v>302.64000000000004</v>
      </c>
      <c r="J69" s="2">
        <f t="shared" si="3"/>
        <v>1.3614035087719301</v>
      </c>
    </row>
    <row r="70" spans="1:10" x14ac:dyDescent="0.3">
      <c r="A70" s="1">
        <v>45362</v>
      </c>
      <c r="B70">
        <v>1479.29</v>
      </c>
      <c r="C70">
        <v>351.71</v>
      </c>
      <c r="D70">
        <v>7</v>
      </c>
      <c r="E70" s="2" t="s">
        <v>8</v>
      </c>
      <c r="F70" s="2" t="s">
        <v>9</v>
      </c>
      <c r="G70" s="2" t="s">
        <v>14</v>
      </c>
      <c r="H70" s="2" t="s">
        <v>11</v>
      </c>
      <c r="I70" s="2">
        <f t="shared" si="2"/>
        <v>1127.58</v>
      </c>
      <c r="J70" s="2">
        <f t="shared" si="3"/>
        <v>3.2059935742515142</v>
      </c>
    </row>
    <row r="71" spans="1:10" x14ac:dyDescent="0.3">
      <c r="A71" s="1">
        <v>45303</v>
      </c>
      <c r="B71">
        <v>304.2</v>
      </c>
      <c r="C71">
        <v>104.36</v>
      </c>
      <c r="D71">
        <v>10</v>
      </c>
      <c r="E71" s="2" t="s">
        <v>8</v>
      </c>
      <c r="F71" s="2" t="s">
        <v>9</v>
      </c>
      <c r="G71" s="2" t="s">
        <v>10</v>
      </c>
      <c r="H71" s="2" t="s">
        <v>18</v>
      </c>
      <c r="I71" s="2">
        <f t="shared" si="2"/>
        <v>199.83999999999997</v>
      </c>
      <c r="J71" s="2">
        <f t="shared" si="3"/>
        <v>1.9149099271751626</v>
      </c>
    </row>
    <row r="72" spans="1:10" x14ac:dyDescent="0.3">
      <c r="A72" s="1">
        <v>45338</v>
      </c>
      <c r="B72">
        <v>1263.1500000000001</v>
      </c>
      <c r="C72">
        <v>100.79</v>
      </c>
      <c r="D72">
        <v>2</v>
      </c>
      <c r="E72" s="2" t="s">
        <v>8</v>
      </c>
      <c r="F72" s="2" t="s">
        <v>9</v>
      </c>
      <c r="G72" s="2" t="s">
        <v>12</v>
      </c>
      <c r="H72" s="2" t="s">
        <v>11</v>
      </c>
      <c r="I72" s="2">
        <f t="shared" si="2"/>
        <v>1162.3600000000001</v>
      </c>
      <c r="J72" s="2">
        <f t="shared" si="3"/>
        <v>11.532493302907035</v>
      </c>
    </row>
    <row r="73" spans="1:10" x14ac:dyDescent="0.3">
      <c r="A73" s="1">
        <v>45380</v>
      </c>
      <c r="B73">
        <v>53.02</v>
      </c>
      <c r="C73">
        <v>54.48</v>
      </c>
      <c r="D73">
        <v>10</v>
      </c>
      <c r="E73" s="2" t="s">
        <v>16</v>
      </c>
      <c r="F73" s="2" t="s">
        <v>17</v>
      </c>
      <c r="G73" s="2" t="s">
        <v>14</v>
      </c>
      <c r="H73" s="2" t="s">
        <v>20</v>
      </c>
      <c r="I73" s="2">
        <f t="shared" si="2"/>
        <v>-1.4599999999999937</v>
      </c>
      <c r="J73" s="2">
        <f t="shared" si="3"/>
        <v>-2.6798825256974922E-2</v>
      </c>
    </row>
    <row r="74" spans="1:10" x14ac:dyDescent="0.3">
      <c r="A74" s="1">
        <v>45352</v>
      </c>
      <c r="B74">
        <v>1258.1400000000001</v>
      </c>
      <c r="C74">
        <v>211.06</v>
      </c>
      <c r="D74">
        <v>8</v>
      </c>
      <c r="E74" s="2" t="s">
        <v>13</v>
      </c>
      <c r="F74" s="2" t="s">
        <v>17</v>
      </c>
      <c r="G74" s="2" t="s">
        <v>14</v>
      </c>
      <c r="H74" s="2" t="s">
        <v>20</v>
      </c>
      <c r="I74" s="2">
        <f t="shared" si="2"/>
        <v>1047.0800000000002</v>
      </c>
      <c r="J74" s="2">
        <f t="shared" si="3"/>
        <v>4.9610537287974994</v>
      </c>
    </row>
    <row r="75" spans="1:10" x14ac:dyDescent="0.3">
      <c r="A75" s="1">
        <v>45318</v>
      </c>
      <c r="B75">
        <v>433.85</v>
      </c>
      <c r="C75">
        <v>139.21</v>
      </c>
      <c r="D75">
        <v>8</v>
      </c>
      <c r="E75" s="2" t="s">
        <v>8</v>
      </c>
      <c r="F75" s="2" t="s">
        <v>9</v>
      </c>
      <c r="G75" s="2" t="s">
        <v>12</v>
      </c>
      <c r="H75" s="2" t="s">
        <v>15</v>
      </c>
      <c r="I75" s="2">
        <f t="shared" si="2"/>
        <v>294.64</v>
      </c>
      <c r="J75" s="2">
        <f t="shared" si="3"/>
        <v>2.1165146182027152</v>
      </c>
    </row>
    <row r="76" spans="1:10" x14ac:dyDescent="0.3">
      <c r="A76" s="1">
        <v>45381</v>
      </c>
      <c r="B76">
        <v>940.45</v>
      </c>
      <c r="C76">
        <v>185.9</v>
      </c>
      <c r="D76">
        <v>2</v>
      </c>
      <c r="E76" s="2" t="s">
        <v>13</v>
      </c>
      <c r="F76" s="2" t="s">
        <v>9</v>
      </c>
      <c r="G76" s="2" t="s">
        <v>12</v>
      </c>
      <c r="H76" s="2" t="s">
        <v>11</v>
      </c>
      <c r="I76" s="2">
        <f t="shared" si="2"/>
        <v>754.55000000000007</v>
      </c>
      <c r="J76" s="2">
        <f t="shared" si="3"/>
        <v>4.0589026358257128</v>
      </c>
    </row>
    <row r="77" spans="1:10" x14ac:dyDescent="0.3">
      <c r="A77" s="1">
        <v>45360</v>
      </c>
      <c r="B77">
        <v>416.18</v>
      </c>
      <c r="C77">
        <v>262.19</v>
      </c>
      <c r="D77">
        <v>10</v>
      </c>
      <c r="E77" s="2" t="s">
        <v>16</v>
      </c>
      <c r="F77" s="2" t="s">
        <v>9</v>
      </c>
      <c r="G77" s="2" t="s">
        <v>14</v>
      </c>
      <c r="H77" s="2" t="s">
        <v>11</v>
      </c>
      <c r="I77" s="2">
        <f t="shared" si="2"/>
        <v>153.99</v>
      </c>
      <c r="J77" s="2">
        <f t="shared" si="3"/>
        <v>0.58732217094473482</v>
      </c>
    </row>
    <row r="78" spans="1:10" x14ac:dyDescent="0.3">
      <c r="A78" s="1">
        <v>45375</v>
      </c>
      <c r="B78">
        <v>1064.8599999999999</v>
      </c>
      <c r="C78">
        <v>423.77</v>
      </c>
      <c r="D78">
        <v>10</v>
      </c>
      <c r="E78" s="2" t="s">
        <v>8</v>
      </c>
      <c r="F78" s="2" t="s">
        <v>9</v>
      </c>
      <c r="G78" s="2" t="s">
        <v>19</v>
      </c>
      <c r="H78" s="2" t="s">
        <v>20</v>
      </c>
      <c r="I78" s="2">
        <f t="shared" si="2"/>
        <v>641.08999999999992</v>
      </c>
      <c r="J78" s="2">
        <f t="shared" si="3"/>
        <v>1.5128253533756517</v>
      </c>
    </row>
    <row r="79" spans="1:10" x14ac:dyDescent="0.3">
      <c r="A79" s="1">
        <v>45302</v>
      </c>
      <c r="B79">
        <v>246.03</v>
      </c>
      <c r="C79">
        <v>139.34</v>
      </c>
      <c r="D79">
        <v>10</v>
      </c>
      <c r="E79" s="2" t="s">
        <v>16</v>
      </c>
      <c r="F79" s="2" t="s">
        <v>17</v>
      </c>
      <c r="G79" s="2" t="s">
        <v>12</v>
      </c>
      <c r="H79" s="2" t="s">
        <v>18</v>
      </c>
      <c r="I79" s="2">
        <f t="shared" si="2"/>
        <v>106.69</v>
      </c>
      <c r="J79" s="2">
        <f t="shared" si="3"/>
        <v>0.76568106789148838</v>
      </c>
    </row>
    <row r="80" spans="1:10" x14ac:dyDescent="0.3">
      <c r="A80" s="1">
        <v>45328</v>
      </c>
      <c r="B80">
        <v>665.6</v>
      </c>
      <c r="C80">
        <v>303.16000000000003</v>
      </c>
      <c r="D80">
        <v>3</v>
      </c>
      <c r="E80" s="2" t="s">
        <v>16</v>
      </c>
      <c r="F80" s="2" t="s">
        <v>17</v>
      </c>
      <c r="G80" s="2" t="s">
        <v>12</v>
      </c>
      <c r="H80" s="2" t="s">
        <v>18</v>
      </c>
      <c r="I80" s="2">
        <f t="shared" si="2"/>
        <v>362.44</v>
      </c>
      <c r="J80" s="2">
        <f t="shared" si="3"/>
        <v>1.1955403087478558</v>
      </c>
    </row>
    <row r="81" spans="1:10" x14ac:dyDescent="0.3">
      <c r="A81" s="1">
        <v>45338</v>
      </c>
      <c r="B81">
        <v>598.77</v>
      </c>
      <c r="C81">
        <v>348.06</v>
      </c>
      <c r="D81">
        <v>5</v>
      </c>
      <c r="E81" s="2" t="s">
        <v>8</v>
      </c>
      <c r="F81" s="2" t="s">
        <v>17</v>
      </c>
      <c r="G81" s="2" t="s">
        <v>14</v>
      </c>
      <c r="H81" s="2" t="s">
        <v>18</v>
      </c>
      <c r="I81" s="2">
        <f t="shared" si="2"/>
        <v>250.70999999999998</v>
      </c>
      <c r="J81" s="2">
        <f t="shared" si="3"/>
        <v>0.72030684364764686</v>
      </c>
    </row>
    <row r="82" spans="1:10" x14ac:dyDescent="0.3">
      <c r="A82" s="1">
        <v>45387</v>
      </c>
      <c r="B82">
        <v>1222.75</v>
      </c>
      <c r="C82">
        <v>50.55</v>
      </c>
      <c r="D82">
        <v>10</v>
      </c>
      <c r="E82" s="2" t="s">
        <v>16</v>
      </c>
      <c r="F82" s="2" t="s">
        <v>17</v>
      </c>
      <c r="G82" s="2" t="s">
        <v>19</v>
      </c>
      <c r="H82" s="2" t="s">
        <v>15</v>
      </c>
      <c r="I82" s="2">
        <f t="shared" si="2"/>
        <v>1172.2</v>
      </c>
      <c r="J82" s="2">
        <f t="shared" si="3"/>
        <v>23.188921859545008</v>
      </c>
    </row>
    <row r="83" spans="1:10" x14ac:dyDescent="0.3">
      <c r="A83" s="1">
        <v>45406</v>
      </c>
      <c r="B83">
        <v>296.10000000000002</v>
      </c>
      <c r="C83">
        <v>171.3</v>
      </c>
      <c r="D83">
        <v>8</v>
      </c>
      <c r="E83" s="2" t="s">
        <v>8</v>
      </c>
      <c r="F83" s="2" t="s">
        <v>17</v>
      </c>
      <c r="G83" s="2" t="s">
        <v>12</v>
      </c>
      <c r="H83" s="2" t="s">
        <v>15</v>
      </c>
      <c r="I83" s="2">
        <f t="shared" si="2"/>
        <v>124.80000000000001</v>
      </c>
      <c r="J83" s="2">
        <f t="shared" si="3"/>
        <v>0.72854640980735552</v>
      </c>
    </row>
    <row r="84" spans="1:10" x14ac:dyDescent="0.3">
      <c r="A84" s="1">
        <v>45399</v>
      </c>
      <c r="B84">
        <v>1088.71</v>
      </c>
      <c r="C84">
        <v>367.8</v>
      </c>
      <c r="D84">
        <v>4</v>
      </c>
      <c r="E84" s="2" t="s">
        <v>13</v>
      </c>
      <c r="F84" s="2" t="s">
        <v>17</v>
      </c>
      <c r="G84" s="2" t="s">
        <v>14</v>
      </c>
      <c r="H84" s="2" t="s">
        <v>15</v>
      </c>
      <c r="I84" s="2">
        <f t="shared" si="2"/>
        <v>720.91000000000008</v>
      </c>
      <c r="J84" s="2">
        <f t="shared" si="3"/>
        <v>1.9600598151169115</v>
      </c>
    </row>
    <row r="85" spans="1:10" x14ac:dyDescent="0.3">
      <c r="A85" s="1">
        <v>45368</v>
      </c>
      <c r="B85">
        <v>1400.65</v>
      </c>
      <c r="C85">
        <v>132.91</v>
      </c>
      <c r="D85">
        <v>8</v>
      </c>
      <c r="E85" s="2" t="s">
        <v>16</v>
      </c>
      <c r="F85" s="2" t="s">
        <v>9</v>
      </c>
      <c r="G85" s="2" t="s">
        <v>10</v>
      </c>
      <c r="H85" s="2" t="s">
        <v>18</v>
      </c>
      <c r="I85" s="2">
        <f t="shared" si="2"/>
        <v>1267.74</v>
      </c>
      <c r="J85" s="2">
        <f t="shared" si="3"/>
        <v>9.5383342111203078</v>
      </c>
    </row>
    <row r="86" spans="1:10" x14ac:dyDescent="0.3">
      <c r="A86" s="1">
        <v>45403</v>
      </c>
      <c r="B86">
        <v>72.12</v>
      </c>
      <c r="C86">
        <v>426.68</v>
      </c>
      <c r="D86">
        <v>2</v>
      </c>
      <c r="E86" s="2" t="s">
        <v>13</v>
      </c>
      <c r="F86" s="2" t="s">
        <v>9</v>
      </c>
      <c r="G86" s="2" t="s">
        <v>10</v>
      </c>
      <c r="H86" s="2" t="s">
        <v>18</v>
      </c>
      <c r="I86" s="2">
        <f t="shared" si="2"/>
        <v>-354.56</v>
      </c>
      <c r="J86" s="2">
        <f t="shared" si="3"/>
        <v>-0.83097403206149811</v>
      </c>
    </row>
    <row r="87" spans="1:10" x14ac:dyDescent="0.3">
      <c r="A87" s="1">
        <v>45386</v>
      </c>
      <c r="B87">
        <v>443.19</v>
      </c>
      <c r="C87">
        <v>285.81</v>
      </c>
      <c r="D87">
        <v>9</v>
      </c>
      <c r="E87" s="2" t="s">
        <v>13</v>
      </c>
      <c r="F87" s="2" t="s">
        <v>17</v>
      </c>
      <c r="G87" s="2" t="s">
        <v>14</v>
      </c>
      <c r="H87" s="2" t="s">
        <v>11</v>
      </c>
      <c r="I87" s="2">
        <f t="shared" si="2"/>
        <v>157.38</v>
      </c>
      <c r="J87" s="2">
        <f t="shared" si="3"/>
        <v>0.55064553374619496</v>
      </c>
    </row>
    <row r="88" spans="1:10" x14ac:dyDescent="0.3">
      <c r="A88" s="1">
        <v>45383</v>
      </c>
      <c r="B88">
        <v>1113.06</v>
      </c>
      <c r="C88">
        <v>148.69999999999999</v>
      </c>
      <c r="D88">
        <v>9</v>
      </c>
      <c r="E88" s="2" t="s">
        <v>16</v>
      </c>
      <c r="F88" s="2" t="s">
        <v>17</v>
      </c>
      <c r="G88" s="2" t="s">
        <v>19</v>
      </c>
      <c r="H88" s="2" t="s">
        <v>11</v>
      </c>
      <c r="I88" s="2">
        <f t="shared" si="2"/>
        <v>964.3599999999999</v>
      </c>
      <c r="J88" s="2">
        <f t="shared" si="3"/>
        <v>6.4852723604572962</v>
      </c>
    </row>
    <row r="89" spans="1:10" x14ac:dyDescent="0.3">
      <c r="A89" s="1">
        <v>45371</v>
      </c>
      <c r="B89">
        <v>1314.99</v>
      </c>
      <c r="C89">
        <v>245.38</v>
      </c>
      <c r="D89">
        <v>2</v>
      </c>
      <c r="E89" s="2" t="s">
        <v>16</v>
      </c>
      <c r="F89" s="2" t="s">
        <v>17</v>
      </c>
      <c r="G89" s="2" t="s">
        <v>12</v>
      </c>
      <c r="H89" s="2" t="s">
        <v>20</v>
      </c>
      <c r="I89" s="2">
        <f t="shared" si="2"/>
        <v>1069.6100000000001</v>
      </c>
      <c r="J89" s="2">
        <f t="shared" si="3"/>
        <v>4.3589942130572998</v>
      </c>
    </row>
    <row r="90" spans="1:10" x14ac:dyDescent="0.3">
      <c r="A90" s="1">
        <v>45408</v>
      </c>
      <c r="B90">
        <v>180.71</v>
      </c>
      <c r="C90">
        <v>360.81</v>
      </c>
      <c r="D90">
        <v>1</v>
      </c>
      <c r="E90" s="2" t="s">
        <v>16</v>
      </c>
      <c r="F90" s="2" t="s">
        <v>17</v>
      </c>
      <c r="G90" s="2" t="s">
        <v>10</v>
      </c>
      <c r="H90" s="2" t="s">
        <v>18</v>
      </c>
      <c r="I90" s="2">
        <f t="shared" si="2"/>
        <v>-180.1</v>
      </c>
      <c r="J90" s="2">
        <f t="shared" si="3"/>
        <v>-0.49915467974834399</v>
      </c>
    </row>
    <row r="91" spans="1:10" x14ac:dyDescent="0.3">
      <c r="A91" s="1">
        <v>45357</v>
      </c>
      <c r="B91">
        <v>869.37</v>
      </c>
      <c r="C91">
        <v>222.25</v>
      </c>
      <c r="D91">
        <v>3</v>
      </c>
      <c r="E91" s="2" t="s">
        <v>13</v>
      </c>
      <c r="F91" s="2" t="s">
        <v>9</v>
      </c>
      <c r="G91" s="2" t="s">
        <v>10</v>
      </c>
      <c r="H91" s="2" t="s">
        <v>15</v>
      </c>
      <c r="I91" s="2">
        <f t="shared" si="2"/>
        <v>647.12</v>
      </c>
      <c r="J91" s="2">
        <f t="shared" si="3"/>
        <v>2.911676040494938</v>
      </c>
    </row>
    <row r="92" spans="1:10" x14ac:dyDescent="0.3">
      <c r="A92" s="1">
        <v>45404</v>
      </c>
      <c r="B92">
        <v>1038.72</v>
      </c>
      <c r="C92">
        <v>346.32</v>
      </c>
      <c r="D92">
        <v>8</v>
      </c>
      <c r="E92" s="2" t="s">
        <v>13</v>
      </c>
      <c r="F92" s="2" t="s">
        <v>17</v>
      </c>
      <c r="G92" s="2" t="s">
        <v>14</v>
      </c>
      <c r="H92" s="2" t="s">
        <v>20</v>
      </c>
      <c r="I92" s="2">
        <f t="shared" si="2"/>
        <v>692.40000000000009</v>
      </c>
      <c r="J92" s="2">
        <f t="shared" si="3"/>
        <v>1.9993069993069996</v>
      </c>
    </row>
    <row r="93" spans="1:10" x14ac:dyDescent="0.3">
      <c r="A93" s="1">
        <v>45321</v>
      </c>
      <c r="B93">
        <v>859.15</v>
      </c>
      <c r="C93">
        <v>249.96</v>
      </c>
      <c r="D93">
        <v>6</v>
      </c>
      <c r="E93" s="2" t="s">
        <v>16</v>
      </c>
      <c r="F93" s="2" t="s">
        <v>17</v>
      </c>
      <c r="G93" s="2" t="s">
        <v>12</v>
      </c>
      <c r="H93" s="2" t="s">
        <v>20</v>
      </c>
      <c r="I93" s="2">
        <f t="shared" si="2"/>
        <v>609.18999999999994</v>
      </c>
      <c r="J93" s="2">
        <f t="shared" si="3"/>
        <v>2.4371499439910385</v>
      </c>
    </row>
    <row r="94" spans="1:10" x14ac:dyDescent="0.3">
      <c r="A94" s="1">
        <v>45348</v>
      </c>
      <c r="B94">
        <v>258.79000000000002</v>
      </c>
      <c r="C94">
        <v>148.94</v>
      </c>
      <c r="D94">
        <v>1</v>
      </c>
      <c r="E94" s="2" t="s">
        <v>8</v>
      </c>
      <c r="F94" s="2" t="s">
        <v>9</v>
      </c>
      <c r="G94" s="2" t="s">
        <v>10</v>
      </c>
      <c r="H94" s="2" t="s">
        <v>18</v>
      </c>
      <c r="I94" s="2">
        <f t="shared" si="2"/>
        <v>109.85000000000002</v>
      </c>
      <c r="J94" s="2">
        <f t="shared" si="3"/>
        <v>0.73754532026319342</v>
      </c>
    </row>
    <row r="95" spans="1:10" x14ac:dyDescent="0.3">
      <c r="A95" s="1">
        <v>45295</v>
      </c>
      <c r="B95">
        <v>696.26</v>
      </c>
      <c r="C95">
        <v>275.02999999999997</v>
      </c>
      <c r="D95">
        <v>7</v>
      </c>
      <c r="E95" s="2" t="s">
        <v>16</v>
      </c>
      <c r="F95" s="2" t="s">
        <v>9</v>
      </c>
      <c r="G95" s="2" t="s">
        <v>14</v>
      </c>
      <c r="H95" s="2" t="s">
        <v>11</v>
      </c>
      <c r="I95" s="2">
        <f t="shared" si="2"/>
        <v>421.23</v>
      </c>
      <c r="J95" s="2">
        <f t="shared" si="3"/>
        <v>1.531578373268371</v>
      </c>
    </row>
    <row r="96" spans="1:10" x14ac:dyDescent="0.3">
      <c r="A96" s="1">
        <v>45368</v>
      </c>
      <c r="B96">
        <v>1182.28</v>
      </c>
      <c r="C96">
        <v>144.46</v>
      </c>
      <c r="D96">
        <v>1</v>
      </c>
      <c r="E96" s="2" t="s">
        <v>8</v>
      </c>
      <c r="F96" s="2" t="s">
        <v>17</v>
      </c>
      <c r="G96" s="2" t="s">
        <v>12</v>
      </c>
      <c r="H96" s="2" t="s">
        <v>11</v>
      </c>
      <c r="I96" s="2">
        <f t="shared" si="2"/>
        <v>1037.82</v>
      </c>
      <c r="J96" s="2">
        <f t="shared" si="3"/>
        <v>7.1841340163367011</v>
      </c>
    </row>
    <row r="97" spans="1:10" x14ac:dyDescent="0.3">
      <c r="A97" s="1">
        <v>45297</v>
      </c>
      <c r="B97">
        <v>763.39</v>
      </c>
      <c r="C97">
        <v>36.950000000000003</v>
      </c>
      <c r="D97">
        <v>6</v>
      </c>
      <c r="E97" s="2" t="s">
        <v>8</v>
      </c>
      <c r="F97" s="2" t="s">
        <v>17</v>
      </c>
      <c r="G97" s="2" t="s">
        <v>10</v>
      </c>
      <c r="H97" s="2" t="s">
        <v>20</v>
      </c>
      <c r="I97" s="2">
        <f t="shared" si="2"/>
        <v>726.43999999999994</v>
      </c>
      <c r="J97" s="2">
        <f t="shared" si="3"/>
        <v>19.660081190798373</v>
      </c>
    </row>
    <row r="98" spans="1:10" x14ac:dyDescent="0.3">
      <c r="A98" s="1">
        <v>45305</v>
      </c>
      <c r="B98">
        <v>1371.54</v>
      </c>
      <c r="C98">
        <v>115.36</v>
      </c>
      <c r="D98">
        <v>0</v>
      </c>
      <c r="E98" s="2" t="s">
        <v>13</v>
      </c>
      <c r="F98" s="2" t="s">
        <v>9</v>
      </c>
      <c r="G98" s="2" t="s">
        <v>12</v>
      </c>
      <c r="H98" s="2" t="s">
        <v>11</v>
      </c>
      <c r="I98" s="2">
        <f t="shared" si="2"/>
        <v>1256.18</v>
      </c>
      <c r="J98" s="2">
        <f t="shared" si="3"/>
        <v>10.889216366158115</v>
      </c>
    </row>
    <row r="99" spans="1:10" x14ac:dyDescent="0.3">
      <c r="A99" s="1">
        <v>45299</v>
      </c>
      <c r="B99">
        <v>684.47</v>
      </c>
      <c r="C99">
        <v>474.53</v>
      </c>
      <c r="D99">
        <v>9</v>
      </c>
      <c r="E99" s="2" t="s">
        <v>13</v>
      </c>
      <c r="F99" s="2" t="s">
        <v>9</v>
      </c>
      <c r="G99" s="2" t="s">
        <v>19</v>
      </c>
      <c r="H99" s="2" t="s">
        <v>15</v>
      </c>
      <c r="I99" s="2">
        <f t="shared" si="2"/>
        <v>209.94000000000005</v>
      </c>
      <c r="J99" s="2">
        <f t="shared" si="3"/>
        <v>0.44241670705750968</v>
      </c>
    </row>
    <row r="100" spans="1:10" x14ac:dyDescent="0.3">
      <c r="A100" s="1">
        <v>45370</v>
      </c>
      <c r="B100">
        <v>1498.88</v>
      </c>
      <c r="C100">
        <v>285.08999999999997</v>
      </c>
      <c r="D100">
        <v>9</v>
      </c>
      <c r="E100" s="2" t="s">
        <v>8</v>
      </c>
      <c r="F100" s="2" t="s">
        <v>9</v>
      </c>
      <c r="G100" s="2" t="s">
        <v>19</v>
      </c>
      <c r="H100" s="2" t="s">
        <v>15</v>
      </c>
      <c r="I100" s="2">
        <f t="shared" si="2"/>
        <v>1213.7900000000002</v>
      </c>
      <c r="J100" s="2">
        <f t="shared" si="3"/>
        <v>4.2575677856115623</v>
      </c>
    </row>
    <row r="101" spans="1:10" x14ac:dyDescent="0.3">
      <c r="A101" s="1">
        <v>45371</v>
      </c>
      <c r="B101">
        <v>866.78</v>
      </c>
      <c r="C101">
        <v>390.79</v>
      </c>
      <c r="D101">
        <v>10</v>
      </c>
      <c r="E101" s="2" t="s">
        <v>13</v>
      </c>
      <c r="F101" s="2" t="s">
        <v>9</v>
      </c>
      <c r="G101" s="2" t="s">
        <v>14</v>
      </c>
      <c r="H101" s="2" t="s">
        <v>20</v>
      </c>
      <c r="I101" s="2">
        <f t="shared" si="2"/>
        <v>475.98999999999995</v>
      </c>
      <c r="J101" s="2">
        <f t="shared" si="3"/>
        <v>1.2180199083906955</v>
      </c>
    </row>
    <row r="102" spans="1:10" x14ac:dyDescent="0.3">
      <c r="A102" s="1">
        <v>45344</v>
      </c>
      <c r="B102">
        <v>998.07</v>
      </c>
      <c r="C102">
        <v>236.32</v>
      </c>
      <c r="D102">
        <v>4</v>
      </c>
      <c r="E102" s="2" t="s">
        <v>16</v>
      </c>
      <c r="F102" s="2" t="s">
        <v>17</v>
      </c>
      <c r="G102" s="2" t="s">
        <v>12</v>
      </c>
      <c r="H102" s="2" t="s">
        <v>20</v>
      </c>
      <c r="I102" s="2">
        <f t="shared" si="2"/>
        <v>761.75</v>
      </c>
      <c r="J102" s="2">
        <f t="shared" si="3"/>
        <v>3.2233835477318888</v>
      </c>
    </row>
    <row r="103" spans="1:10" x14ac:dyDescent="0.3">
      <c r="A103" s="1">
        <v>45304</v>
      </c>
      <c r="B103">
        <v>633.98</v>
      </c>
      <c r="C103">
        <v>56.22</v>
      </c>
      <c r="D103">
        <v>7</v>
      </c>
      <c r="E103" s="2" t="s">
        <v>16</v>
      </c>
      <c r="F103" s="2" t="s">
        <v>9</v>
      </c>
      <c r="G103" s="2" t="s">
        <v>12</v>
      </c>
      <c r="H103" s="2" t="s">
        <v>20</v>
      </c>
      <c r="I103" s="2">
        <f t="shared" si="2"/>
        <v>577.76</v>
      </c>
      <c r="J103" s="2">
        <f t="shared" si="3"/>
        <v>10.276769832799715</v>
      </c>
    </row>
    <row r="104" spans="1:10" x14ac:dyDescent="0.3">
      <c r="A104" s="1">
        <v>45363</v>
      </c>
      <c r="B104">
        <v>1363.04</v>
      </c>
      <c r="C104">
        <v>102.14</v>
      </c>
      <c r="D104">
        <v>9</v>
      </c>
      <c r="E104" s="2" t="s">
        <v>13</v>
      </c>
      <c r="F104" s="2" t="s">
        <v>17</v>
      </c>
      <c r="G104" s="2" t="s">
        <v>10</v>
      </c>
      <c r="H104" s="2" t="s">
        <v>15</v>
      </c>
      <c r="I104" s="2">
        <f t="shared" si="2"/>
        <v>1260.8999999999999</v>
      </c>
      <c r="J104" s="2">
        <f t="shared" si="3"/>
        <v>12.344820834149205</v>
      </c>
    </row>
    <row r="105" spans="1:10" x14ac:dyDescent="0.3">
      <c r="A105" s="1">
        <v>45384</v>
      </c>
      <c r="B105">
        <v>1289.3</v>
      </c>
      <c r="C105">
        <v>66.099999999999994</v>
      </c>
      <c r="D105">
        <v>5</v>
      </c>
      <c r="E105" s="2" t="s">
        <v>8</v>
      </c>
      <c r="F105" s="2" t="s">
        <v>17</v>
      </c>
      <c r="G105" s="2" t="s">
        <v>10</v>
      </c>
      <c r="H105" s="2" t="s">
        <v>15</v>
      </c>
      <c r="I105" s="2">
        <f t="shared" si="2"/>
        <v>1223.2</v>
      </c>
      <c r="J105" s="2">
        <f t="shared" si="3"/>
        <v>18.5052950075643</v>
      </c>
    </row>
    <row r="106" spans="1:10" x14ac:dyDescent="0.3">
      <c r="A106" s="1">
        <v>45348</v>
      </c>
      <c r="B106">
        <v>563.32000000000005</v>
      </c>
      <c r="C106">
        <v>76.69</v>
      </c>
      <c r="D106">
        <v>1</v>
      </c>
      <c r="E106" s="2" t="s">
        <v>8</v>
      </c>
      <c r="F106" s="2" t="s">
        <v>17</v>
      </c>
      <c r="G106" s="2" t="s">
        <v>14</v>
      </c>
      <c r="H106" s="2" t="s">
        <v>11</v>
      </c>
      <c r="I106" s="2">
        <f t="shared" si="2"/>
        <v>486.63000000000005</v>
      </c>
      <c r="J106" s="2">
        <f t="shared" si="3"/>
        <v>6.3454166123353772</v>
      </c>
    </row>
    <row r="107" spans="1:10" x14ac:dyDescent="0.3">
      <c r="A107" s="1">
        <v>45343</v>
      </c>
      <c r="B107">
        <v>721.71</v>
      </c>
      <c r="C107">
        <v>379.77</v>
      </c>
      <c r="D107">
        <v>3</v>
      </c>
      <c r="E107" s="2" t="s">
        <v>8</v>
      </c>
      <c r="F107" s="2" t="s">
        <v>9</v>
      </c>
      <c r="G107" s="2" t="s">
        <v>12</v>
      </c>
      <c r="H107" s="2" t="s">
        <v>20</v>
      </c>
      <c r="I107" s="2">
        <f t="shared" si="2"/>
        <v>341.94000000000005</v>
      </c>
      <c r="J107" s="2">
        <f t="shared" si="3"/>
        <v>0.90038707638834048</v>
      </c>
    </row>
    <row r="108" spans="1:10" x14ac:dyDescent="0.3">
      <c r="A108" s="1">
        <v>45330</v>
      </c>
      <c r="B108">
        <v>1403.49</v>
      </c>
      <c r="C108">
        <v>275.91000000000003</v>
      </c>
      <c r="D108">
        <v>2</v>
      </c>
      <c r="E108" s="2" t="s">
        <v>8</v>
      </c>
      <c r="F108" s="2" t="s">
        <v>9</v>
      </c>
      <c r="G108" s="2" t="s">
        <v>19</v>
      </c>
      <c r="H108" s="2" t="s">
        <v>15</v>
      </c>
      <c r="I108" s="2">
        <f t="shared" si="2"/>
        <v>1127.58</v>
      </c>
      <c r="J108" s="2">
        <f t="shared" si="3"/>
        <v>4.0867674241600511</v>
      </c>
    </row>
    <row r="109" spans="1:10" x14ac:dyDescent="0.3">
      <c r="A109" s="1">
        <v>45387</v>
      </c>
      <c r="B109">
        <v>1021.11</v>
      </c>
      <c r="C109">
        <v>395.99</v>
      </c>
      <c r="D109">
        <v>5</v>
      </c>
      <c r="E109" s="2" t="s">
        <v>8</v>
      </c>
      <c r="F109" s="2" t="s">
        <v>17</v>
      </c>
      <c r="G109" s="2" t="s">
        <v>14</v>
      </c>
      <c r="H109" s="2" t="s">
        <v>20</v>
      </c>
      <c r="I109" s="2">
        <f t="shared" si="2"/>
        <v>625.12</v>
      </c>
      <c r="J109" s="2">
        <f t="shared" si="3"/>
        <v>1.5786257228717897</v>
      </c>
    </row>
    <row r="110" spans="1:10" x14ac:dyDescent="0.3">
      <c r="A110" s="1">
        <v>45293</v>
      </c>
      <c r="B110">
        <v>1439.27</v>
      </c>
      <c r="C110">
        <v>232.67</v>
      </c>
      <c r="D110">
        <v>4</v>
      </c>
      <c r="E110" s="2" t="s">
        <v>8</v>
      </c>
      <c r="F110" s="2" t="s">
        <v>17</v>
      </c>
      <c r="G110" s="2" t="s">
        <v>12</v>
      </c>
      <c r="H110" s="2" t="s">
        <v>20</v>
      </c>
      <c r="I110" s="2">
        <f t="shared" si="2"/>
        <v>1206.5999999999999</v>
      </c>
      <c r="J110" s="2">
        <f t="shared" si="3"/>
        <v>5.1858855890316757</v>
      </c>
    </row>
    <row r="111" spans="1:10" x14ac:dyDescent="0.3">
      <c r="A111" s="1">
        <v>45329</v>
      </c>
      <c r="B111">
        <v>485.39</v>
      </c>
      <c r="C111">
        <v>51.89</v>
      </c>
      <c r="D111">
        <v>0</v>
      </c>
      <c r="E111" s="2" t="s">
        <v>8</v>
      </c>
      <c r="F111" s="2" t="s">
        <v>9</v>
      </c>
      <c r="G111" s="2" t="s">
        <v>12</v>
      </c>
      <c r="H111" s="2" t="s">
        <v>20</v>
      </c>
      <c r="I111" s="2">
        <f t="shared" si="2"/>
        <v>433.5</v>
      </c>
      <c r="J111" s="2">
        <f t="shared" si="3"/>
        <v>8.3542108306031988</v>
      </c>
    </row>
    <row r="112" spans="1:10" x14ac:dyDescent="0.3">
      <c r="A112" s="1">
        <v>45399</v>
      </c>
      <c r="B112">
        <v>402.1</v>
      </c>
      <c r="C112">
        <v>266.83999999999997</v>
      </c>
      <c r="D112">
        <v>9</v>
      </c>
      <c r="E112" s="2" t="s">
        <v>16</v>
      </c>
      <c r="F112" s="2" t="s">
        <v>9</v>
      </c>
      <c r="G112" s="2" t="s">
        <v>19</v>
      </c>
      <c r="H112" s="2" t="s">
        <v>15</v>
      </c>
      <c r="I112" s="2">
        <f t="shared" si="2"/>
        <v>135.26000000000005</v>
      </c>
      <c r="J112" s="2">
        <f t="shared" si="3"/>
        <v>0.50689551791335652</v>
      </c>
    </row>
    <row r="113" spans="1:10" x14ac:dyDescent="0.3">
      <c r="A113" s="1">
        <v>45386</v>
      </c>
      <c r="B113">
        <v>1280.26</v>
      </c>
      <c r="C113">
        <v>281.89999999999998</v>
      </c>
      <c r="D113">
        <v>2</v>
      </c>
      <c r="E113" s="2" t="s">
        <v>16</v>
      </c>
      <c r="F113" s="2" t="s">
        <v>17</v>
      </c>
      <c r="G113" s="2" t="s">
        <v>19</v>
      </c>
      <c r="H113" s="2" t="s">
        <v>11</v>
      </c>
      <c r="I113" s="2">
        <f t="shared" si="2"/>
        <v>998.36</v>
      </c>
      <c r="J113" s="2">
        <f t="shared" si="3"/>
        <v>3.5415395530329907</v>
      </c>
    </row>
    <row r="114" spans="1:10" x14ac:dyDescent="0.3">
      <c r="A114" s="1">
        <v>45377</v>
      </c>
      <c r="B114">
        <v>782.37</v>
      </c>
      <c r="C114">
        <v>95.18</v>
      </c>
      <c r="D114">
        <v>9</v>
      </c>
      <c r="E114" s="2" t="s">
        <v>8</v>
      </c>
      <c r="F114" s="2" t="s">
        <v>17</v>
      </c>
      <c r="G114" s="2" t="s">
        <v>14</v>
      </c>
      <c r="H114" s="2" t="s">
        <v>20</v>
      </c>
      <c r="I114" s="2">
        <f t="shared" si="2"/>
        <v>687.19</v>
      </c>
      <c r="J114" s="2">
        <f t="shared" si="3"/>
        <v>7.2198991384744691</v>
      </c>
    </row>
    <row r="115" spans="1:10" x14ac:dyDescent="0.3">
      <c r="A115" s="1">
        <v>45323</v>
      </c>
      <c r="B115">
        <v>328.83</v>
      </c>
      <c r="C115">
        <v>30.86</v>
      </c>
      <c r="D115">
        <v>5</v>
      </c>
      <c r="E115" s="2" t="s">
        <v>8</v>
      </c>
      <c r="F115" s="2" t="s">
        <v>9</v>
      </c>
      <c r="G115" s="2" t="s">
        <v>19</v>
      </c>
      <c r="H115" s="2" t="s">
        <v>18</v>
      </c>
      <c r="I115" s="2">
        <f t="shared" si="2"/>
        <v>297.96999999999997</v>
      </c>
      <c r="J115" s="2">
        <f t="shared" si="3"/>
        <v>9.6555411535968876</v>
      </c>
    </row>
    <row r="116" spans="1:10" x14ac:dyDescent="0.3">
      <c r="A116" s="1">
        <v>45348</v>
      </c>
      <c r="B116">
        <v>252.16</v>
      </c>
      <c r="C116">
        <v>48.78</v>
      </c>
      <c r="D116">
        <v>8</v>
      </c>
      <c r="E116" s="2" t="s">
        <v>8</v>
      </c>
      <c r="F116" s="2" t="s">
        <v>9</v>
      </c>
      <c r="G116" s="2" t="s">
        <v>19</v>
      </c>
      <c r="H116" s="2" t="s">
        <v>20</v>
      </c>
      <c r="I116" s="2">
        <f t="shared" si="2"/>
        <v>203.38</v>
      </c>
      <c r="J116" s="2">
        <f t="shared" si="3"/>
        <v>4.1693316933169333</v>
      </c>
    </row>
    <row r="117" spans="1:10" x14ac:dyDescent="0.3">
      <c r="A117" s="1">
        <v>45372</v>
      </c>
      <c r="B117">
        <v>1229.78</v>
      </c>
      <c r="C117">
        <v>303.22000000000003</v>
      </c>
      <c r="D117">
        <v>1</v>
      </c>
      <c r="E117" s="2" t="s">
        <v>8</v>
      </c>
      <c r="F117" s="2" t="s">
        <v>9</v>
      </c>
      <c r="G117" s="2" t="s">
        <v>19</v>
      </c>
      <c r="H117" s="2" t="s">
        <v>15</v>
      </c>
      <c r="I117" s="2">
        <f t="shared" si="2"/>
        <v>926.56</v>
      </c>
      <c r="J117" s="2">
        <f t="shared" si="3"/>
        <v>3.0557351098212515</v>
      </c>
    </row>
    <row r="118" spans="1:10" x14ac:dyDescent="0.3">
      <c r="A118" s="1">
        <v>45372</v>
      </c>
      <c r="B118">
        <v>1156.79</v>
      </c>
      <c r="C118">
        <v>437.99</v>
      </c>
      <c r="D118">
        <v>3</v>
      </c>
      <c r="E118" s="2" t="s">
        <v>16</v>
      </c>
      <c r="F118" s="2" t="s">
        <v>9</v>
      </c>
      <c r="G118" s="2" t="s">
        <v>10</v>
      </c>
      <c r="H118" s="2" t="s">
        <v>20</v>
      </c>
      <c r="I118" s="2">
        <f t="shared" si="2"/>
        <v>718.8</v>
      </c>
      <c r="J118" s="2">
        <f t="shared" si="3"/>
        <v>1.6411333592091142</v>
      </c>
    </row>
    <row r="119" spans="1:10" x14ac:dyDescent="0.3">
      <c r="A119" s="1">
        <v>45400</v>
      </c>
      <c r="B119">
        <v>564.16999999999996</v>
      </c>
      <c r="C119">
        <v>152.85</v>
      </c>
      <c r="D119">
        <v>9</v>
      </c>
      <c r="E119" s="2" t="s">
        <v>13</v>
      </c>
      <c r="F119" s="2" t="s">
        <v>17</v>
      </c>
      <c r="G119" s="2" t="s">
        <v>14</v>
      </c>
      <c r="H119" s="2" t="s">
        <v>18</v>
      </c>
      <c r="I119" s="2">
        <f t="shared" si="2"/>
        <v>411.31999999999994</v>
      </c>
      <c r="J119" s="2">
        <f t="shared" si="3"/>
        <v>2.6910042525351647</v>
      </c>
    </row>
    <row r="120" spans="1:10" x14ac:dyDescent="0.3">
      <c r="A120" s="1">
        <v>45350</v>
      </c>
      <c r="B120">
        <v>333.63</v>
      </c>
      <c r="C120">
        <v>384.58</v>
      </c>
      <c r="D120">
        <v>0</v>
      </c>
      <c r="E120" s="2" t="s">
        <v>13</v>
      </c>
      <c r="F120" s="2" t="s">
        <v>17</v>
      </c>
      <c r="G120" s="2" t="s">
        <v>14</v>
      </c>
      <c r="H120" s="2" t="s">
        <v>18</v>
      </c>
      <c r="I120" s="2">
        <f t="shared" si="2"/>
        <v>-50.949999999999989</v>
      </c>
      <c r="J120" s="2">
        <f t="shared" si="3"/>
        <v>-0.13248218836132922</v>
      </c>
    </row>
    <row r="121" spans="1:10" x14ac:dyDescent="0.3">
      <c r="A121" s="1">
        <v>45385</v>
      </c>
      <c r="B121">
        <v>539.91</v>
      </c>
      <c r="C121">
        <v>10.91</v>
      </c>
      <c r="D121">
        <v>9</v>
      </c>
      <c r="E121" s="2" t="s">
        <v>8</v>
      </c>
      <c r="F121" s="2" t="s">
        <v>17</v>
      </c>
      <c r="G121" s="2" t="s">
        <v>14</v>
      </c>
      <c r="H121" s="2" t="s">
        <v>18</v>
      </c>
      <c r="I121" s="2">
        <f t="shared" si="2"/>
        <v>529</v>
      </c>
      <c r="J121" s="2">
        <f t="shared" si="3"/>
        <v>48.487626031164069</v>
      </c>
    </row>
    <row r="122" spans="1:10" x14ac:dyDescent="0.3">
      <c r="A122" s="1">
        <v>45333</v>
      </c>
      <c r="B122">
        <v>1131.8800000000001</v>
      </c>
      <c r="C122">
        <v>435.76</v>
      </c>
      <c r="D122">
        <v>9</v>
      </c>
      <c r="E122" s="2" t="s">
        <v>16</v>
      </c>
      <c r="F122" s="2" t="s">
        <v>9</v>
      </c>
      <c r="G122" s="2" t="s">
        <v>14</v>
      </c>
      <c r="H122" s="2" t="s">
        <v>11</v>
      </c>
      <c r="I122" s="2">
        <f t="shared" si="2"/>
        <v>696.12000000000012</v>
      </c>
      <c r="J122" s="2">
        <f t="shared" si="3"/>
        <v>1.5974848540481001</v>
      </c>
    </row>
    <row r="123" spans="1:10" x14ac:dyDescent="0.3">
      <c r="A123" s="1">
        <v>45325</v>
      </c>
      <c r="B123">
        <v>565.48</v>
      </c>
      <c r="C123">
        <v>63.08</v>
      </c>
      <c r="D123">
        <v>3</v>
      </c>
      <c r="E123" s="2" t="s">
        <v>16</v>
      </c>
      <c r="F123" s="2" t="s">
        <v>9</v>
      </c>
      <c r="G123" s="2" t="s">
        <v>14</v>
      </c>
      <c r="H123" s="2" t="s">
        <v>15</v>
      </c>
      <c r="I123" s="2">
        <f t="shared" si="2"/>
        <v>502.40000000000003</v>
      </c>
      <c r="J123" s="2">
        <f t="shared" si="3"/>
        <v>7.9644895370957522</v>
      </c>
    </row>
    <row r="124" spans="1:10" x14ac:dyDescent="0.3">
      <c r="A124" s="1">
        <v>45317</v>
      </c>
      <c r="B124">
        <v>1491.69</v>
      </c>
      <c r="C124">
        <v>360.69</v>
      </c>
      <c r="D124">
        <v>6</v>
      </c>
      <c r="E124" s="2" t="s">
        <v>13</v>
      </c>
      <c r="F124" s="2" t="s">
        <v>9</v>
      </c>
      <c r="G124" s="2" t="s">
        <v>12</v>
      </c>
      <c r="H124" s="2" t="s">
        <v>20</v>
      </c>
      <c r="I124" s="2">
        <f t="shared" si="2"/>
        <v>1131</v>
      </c>
      <c r="J124" s="2">
        <f t="shared" si="3"/>
        <v>3.1356566580720284</v>
      </c>
    </row>
    <row r="125" spans="1:10" x14ac:dyDescent="0.3">
      <c r="A125" s="1">
        <v>45393</v>
      </c>
      <c r="B125">
        <v>370.56</v>
      </c>
      <c r="C125">
        <v>305.16000000000003</v>
      </c>
      <c r="D125">
        <v>5</v>
      </c>
      <c r="E125" s="2" t="s">
        <v>13</v>
      </c>
      <c r="F125" s="2" t="s">
        <v>17</v>
      </c>
      <c r="G125" s="2" t="s">
        <v>14</v>
      </c>
      <c r="H125" s="2" t="s">
        <v>15</v>
      </c>
      <c r="I125" s="2">
        <f t="shared" si="2"/>
        <v>65.399999999999977</v>
      </c>
      <c r="J125" s="2">
        <f t="shared" si="3"/>
        <v>0.21431380259535973</v>
      </c>
    </row>
    <row r="126" spans="1:10" x14ac:dyDescent="0.3">
      <c r="A126" s="1">
        <v>45310</v>
      </c>
      <c r="B126">
        <v>865.42</v>
      </c>
      <c r="C126">
        <v>269.95999999999998</v>
      </c>
      <c r="D126">
        <v>1</v>
      </c>
      <c r="E126" s="2" t="s">
        <v>13</v>
      </c>
      <c r="F126" s="2" t="s">
        <v>17</v>
      </c>
      <c r="G126" s="2" t="s">
        <v>12</v>
      </c>
      <c r="H126" s="2" t="s">
        <v>15</v>
      </c>
      <c r="I126" s="2">
        <f t="shared" si="2"/>
        <v>595.46</v>
      </c>
      <c r="J126" s="2">
        <f t="shared" si="3"/>
        <v>2.2057341828419026</v>
      </c>
    </row>
    <row r="127" spans="1:10" x14ac:dyDescent="0.3">
      <c r="A127" s="1">
        <v>45382</v>
      </c>
      <c r="B127">
        <v>1401.85</v>
      </c>
      <c r="C127">
        <v>296.73</v>
      </c>
      <c r="D127">
        <v>0</v>
      </c>
      <c r="E127" s="2" t="s">
        <v>16</v>
      </c>
      <c r="F127" s="2" t="s">
        <v>9</v>
      </c>
      <c r="G127" s="2" t="s">
        <v>19</v>
      </c>
      <c r="H127" s="2" t="s">
        <v>20</v>
      </c>
      <c r="I127" s="2">
        <f t="shared" si="2"/>
        <v>1105.1199999999999</v>
      </c>
      <c r="J127" s="2">
        <f t="shared" si="3"/>
        <v>3.7243285141374307</v>
      </c>
    </row>
    <row r="128" spans="1:10" x14ac:dyDescent="0.3">
      <c r="A128" s="1">
        <v>45317</v>
      </c>
      <c r="B128">
        <v>173.1</v>
      </c>
      <c r="C128">
        <v>409.21</v>
      </c>
      <c r="D128">
        <v>9</v>
      </c>
      <c r="E128" s="2" t="s">
        <v>16</v>
      </c>
      <c r="F128" s="2" t="s">
        <v>9</v>
      </c>
      <c r="G128" s="2" t="s">
        <v>12</v>
      </c>
      <c r="H128" s="2" t="s">
        <v>11</v>
      </c>
      <c r="I128" s="2">
        <f t="shared" si="2"/>
        <v>-236.10999999999999</v>
      </c>
      <c r="J128" s="2">
        <f t="shared" si="3"/>
        <v>-0.57698980963319568</v>
      </c>
    </row>
    <row r="129" spans="1:10" x14ac:dyDescent="0.3">
      <c r="A129" s="1">
        <v>45316</v>
      </c>
      <c r="B129">
        <v>1003.24</v>
      </c>
      <c r="C129">
        <v>329.86</v>
      </c>
      <c r="D129">
        <v>3</v>
      </c>
      <c r="E129" s="2" t="s">
        <v>16</v>
      </c>
      <c r="F129" s="2" t="s">
        <v>9</v>
      </c>
      <c r="G129" s="2" t="s">
        <v>10</v>
      </c>
      <c r="H129" s="2" t="s">
        <v>15</v>
      </c>
      <c r="I129" s="2">
        <f t="shared" si="2"/>
        <v>673.38</v>
      </c>
      <c r="J129" s="2">
        <f t="shared" si="3"/>
        <v>2.0414115079124477</v>
      </c>
    </row>
    <row r="130" spans="1:10" x14ac:dyDescent="0.3">
      <c r="A130" s="1">
        <v>45292</v>
      </c>
      <c r="B130">
        <v>584.76</v>
      </c>
      <c r="C130">
        <v>151.30000000000001</v>
      </c>
      <c r="D130">
        <v>9</v>
      </c>
      <c r="E130" s="2" t="s">
        <v>13</v>
      </c>
      <c r="F130" s="2" t="s">
        <v>9</v>
      </c>
      <c r="G130" s="2" t="s">
        <v>10</v>
      </c>
      <c r="H130" s="2" t="s">
        <v>18</v>
      </c>
      <c r="I130" s="2">
        <f t="shared" ref="I130:I193" si="4">B130-C130</f>
        <v>433.46</v>
      </c>
      <c r="J130" s="2">
        <f t="shared" ref="J130:J193" si="5">IF(C130=0,0,I130/C130)</f>
        <v>2.8649041639127559</v>
      </c>
    </row>
    <row r="131" spans="1:10" x14ac:dyDescent="0.3">
      <c r="A131" s="1">
        <v>45392</v>
      </c>
      <c r="B131">
        <v>228.72</v>
      </c>
      <c r="C131">
        <v>113.09</v>
      </c>
      <c r="D131">
        <v>7</v>
      </c>
      <c r="E131" s="2" t="s">
        <v>16</v>
      </c>
      <c r="F131" s="2" t="s">
        <v>9</v>
      </c>
      <c r="G131" s="2" t="s">
        <v>14</v>
      </c>
      <c r="H131" s="2" t="s">
        <v>20</v>
      </c>
      <c r="I131" s="2">
        <f t="shared" si="4"/>
        <v>115.63</v>
      </c>
      <c r="J131" s="2">
        <f t="shared" si="5"/>
        <v>1.0224599876204792</v>
      </c>
    </row>
    <row r="132" spans="1:10" x14ac:dyDescent="0.3">
      <c r="A132" s="1">
        <v>45375</v>
      </c>
      <c r="B132">
        <v>1397.43</v>
      </c>
      <c r="C132">
        <v>363.64</v>
      </c>
      <c r="D132">
        <v>2</v>
      </c>
      <c r="E132" s="2" t="s">
        <v>13</v>
      </c>
      <c r="F132" s="2" t="s">
        <v>9</v>
      </c>
      <c r="G132" s="2" t="s">
        <v>10</v>
      </c>
      <c r="H132" s="2" t="s">
        <v>18</v>
      </c>
      <c r="I132" s="2">
        <f t="shared" si="4"/>
        <v>1033.79</v>
      </c>
      <c r="J132" s="2">
        <f t="shared" si="5"/>
        <v>2.8428940710592894</v>
      </c>
    </row>
    <row r="133" spans="1:10" x14ac:dyDescent="0.3">
      <c r="A133" s="1">
        <v>45350</v>
      </c>
      <c r="B133">
        <v>602.08000000000004</v>
      </c>
      <c r="C133">
        <v>237.61</v>
      </c>
      <c r="D133">
        <v>3</v>
      </c>
      <c r="E133" s="2" t="s">
        <v>13</v>
      </c>
      <c r="F133" s="2" t="s">
        <v>9</v>
      </c>
      <c r="G133" s="2" t="s">
        <v>19</v>
      </c>
      <c r="H133" s="2" t="s">
        <v>15</v>
      </c>
      <c r="I133" s="2">
        <f t="shared" si="4"/>
        <v>364.47</v>
      </c>
      <c r="J133" s="2">
        <f t="shared" si="5"/>
        <v>1.5339000883801186</v>
      </c>
    </row>
    <row r="134" spans="1:10" x14ac:dyDescent="0.3">
      <c r="A134" s="1">
        <v>45371</v>
      </c>
      <c r="B134">
        <v>1097.77</v>
      </c>
      <c r="C134">
        <v>66.64</v>
      </c>
      <c r="D134">
        <v>2</v>
      </c>
      <c r="E134" s="2" t="s">
        <v>16</v>
      </c>
      <c r="F134" s="2" t="s">
        <v>9</v>
      </c>
      <c r="G134" s="2" t="s">
        <v>19</v>
      </c>
      <c r="H134" s="2" t="s">
        <v>15</v>
      </c>
      <c r="I134" s="2">
        <f t="shared" si="4"/>
        <v>1031.1299999999999</v>
      </c>
      <c r="J134" s="2">
        <f t="shared" si="5"/>
        <v>15.473139255702279</v>
      </c>
    </row>
    <row r="135" spans="1:10" x14ac:dyDescent="0.3">
      <c r="A135" s="1">
        <v>45329</v>
      </c>
      <c r="B135">
        <v>1176.73</v>
      </c>
      <c r="C135">
        <v>175.66</v>
      </c>
      <c r="D135">
        <v>2</v>
      </c>
      <c r="E135" s="2" t="s">
        <v>16</v>
      </c>
      <c r="F135" s="2" t="s">
        <v>9</v>
      </c>
      <c r="G135" s="2" t="s">
        <v>10</v>
      </c>
      <c r="H135" s="2" t="s">
        <v>15</v>
      </c>
      <c r="I135" s="2">
        <f t="shared" si="4"/>
        <v>1001.07</v>
      </c>
      <c r="J135" s="2">
        <f t="shared" si="5"/>
        <v>5.6989069793920075</v>
      </c>
    </row>
    <row r="136" spans="1:10" x14ac:dyDescent="0.3">
      <c r="A136" s="1">
        <v>45296</v>
      </c>
      <c r="B136">
        <v>744.95</v>
      </c>
      <c r="C136">
        <v>412.69</v>
      </c>
      <c r="D136">
        <v>3</v>
      </c>
      <c r="E136" s="2" t="s">
        <v>13</v>
      </c>
      <c r="F136" s="2" t="s">
        <v>17</v>
      </c>
      <c r="G136" s="2" t="s">
        <v>19</v>
      </c>
      <c r="H136" s="2" t="s">
        <v>18</v>
      </c>
      <c r="I136" s="2">
        <f t="shared" si="4"/>
        <v>332.26000000000005</v>
      </c>
      <c r="J136" s="2">
        <f t="shared" si="5"/>
        <v>0.80510795027744808</v>
      </c>
    </row>
    <row r="137" spans="1:10" x14ac:dyDescent="0.3">
      <c r="A137" s="1">
        <v>45368</v>
      </c>
      <c r="B137">
        <v>775.8</v>
      </c>
      <c r="C137">
        <v>140.04</v>
      </c>
      <c r="D137">
        <v>4</v>
      </c>
      <c r="E137" s="2" t="s">
        <v>13</v>
      </c>
      <c r="F137" s="2" t="s">
        <v>17</v>
      </c>
      <c r="G137" s="2" t="s">
        <v>19</v>
      </c>
      <c r="H137" s="2" t="s">
        <v>15</v>
      </c>
      <c r="I137" s="2">
        <f t="shared" si="4"/>
        <v>635.76</v>
      </c>
      <c r="J137" s="2">
        <f t="shared" si="5"/>
        <v>4.5398457583547556</v>
      </c>
    </row>
    <row r="138" spans="1:10" x14ac:dyDescent="0.3">
      <c r="A138" s="1">
        <v>45359</v>
      </c>
      <c r="B138">
        <v>390.06</v>
      </c>
      <c r="C138">
        <v>187.1</v>
      </c>
      <c r="D138">
        <v>9</v>
      </c>
      <c r="E138" s="2" t="s">
        <v>8</v>
      </c>
      <c r="F138" s="2" t="s">
        <v>9</v>
      </c>
      <c r="G138" s="2" t="s">
        <v>10</v>
      </c>
      <c r="H138" s="2" t="s">
        <v>15</v>
      </c>
      <c r="I138" s="2">
        <f t="shared" si="4"/>
        <v>202.96</v>
      </c>
      <c r="J138" s="2">
        <f t="shared" si="5"/>
        <v>1.0847675040085516</v>
      </c>
    </row>
    <row r="139" spans="1:10" x14ac:dyDescent="0.3">
      <c r="A139" s="1">
        <v>45363</v>
      </c>
      <c r="B139">
        <v>301.32</v>
      </c>
      <c r="C139">
        <v>60.95</v>
      </c>
      <c r="D139">
        <v>4</v>
      </c>
      <c r="E139" s="2" t="s">
        <v>8</v>
      </c>
      <c r="F139" s="2" t="s">
        <v>9</v>
      </c>
      <c r="G139" s="2" t="s">
        <v>14</v>
      </c>
      <c r="H139" s="2" t="s">
        <v>11</v>
      </c>
      <c r="I139" s="2">
        <f t="shared" si="4"/>
        <v>240.37</v>
      </c>
      <c r="J139" s="2">
        <f t="shared" si="5"/>
        <v>3.9437243642329776</v>
      </c>
    </row>
    <row r="140" spans="1:10" x14ac:dyDescent="0.3">
      <c r="A140" s="1">
        <v>45354</v>
      </c>
      <c r="B140">
        <v>711.28</v>
      </c>
      <c r="C140">
        <v>248.33</v>
      </c>
      <c r="D140">
        <v>7</v>
      </c>
      <c r="E140" s="2" t="s">
        <v>8</v>
      </c>
      <c r="F140" s="2" t="s">
        <v>17</v>
      </c>
      <c r="G140" s="2" t="s">
        <v>12</v>
      </c>
      <c r="H140" s="2" t="s">
        <v>18</v>
      </c>
      <c r="I140" s="2">
        <f t="shared" si="4"/>
        <v>462.94999999999993</v>
      </c>
      <c r="J140" s="2">
        <f t="shared" si="5"/>
        <v>1.8642532114525023</v>
      </c>
    </row>
    <row r="141" spans="1:10" x14ac:dyDescent="0.3">
      <c r="A141" s="1">
        <v>45382</v>
      </c>
      <c r="B141">
        <v>575.1</v>
      </c>
      <c r="C141">
        <v>107.11</v>
      </c>
      <c r="D141">
        <v>1</v>
      </c>
      <c r="E141" s="2" t="s">
        <v>13</v>
      </c>
      <c r="F141" s="2" t="s">
        <v>17</v>
      </c>
      <c r="G141" s="2" t="s">
        <v>19</v>
      </c>
      <c r="H141" s="2" t="s">
        <v>20</v>
      </c>
      <c r="I141" s="2">
        <f t="shared" si="4"/>
        <v>467.99</v>
      </c>
      <c r="J141" s="2">
        <f t="shared" si="5"/>
        <v>4.369246568947811</v>
      </c>
    </row>
    <row r="142" spans="1:10" x14ac:dyDescent="0.3">
      <c r="A142" s="1">
        <v>45329</v>
      </c>
      <c r="B142">
        <v>1011.1</v>
      </c>
      <c r="C142">
        <v>269.58</v>
      </c>
      <c r="D142">
        <v>9</v>
      </c>
      <c r="E142" s="2" t="s">
        <v>16</v>
      </c>
      <c r="F142" s="2" t="s">
        <v>9</v>
      </c>
      <c r="G142" s="2" t="s">
        <v>12</v>
      </c>
      <c r="H142" s="2" t="s">
        <v>20</v>
      </c>
      <c r="I142" s="2">
        <f t="shared" si="4"/>
        <v>741.52</v>
      </c>
      <c r="J142" s="2">
        <f t="shared" si="5"/>
        <v>2.750649157949403</v>
      </c>
    </row>
    <row r="143" spans="1:10" x14ac:dyDescent="0.3">
      <c r="A143" s="1">
        <v>45383</v>
      </c>
      <c r="B143">
        <v>638.72</v>
      </c>
      <c r="C143">
        <v>346.04</v>
      </c>
      <c r="D143">
        <v>5</v>
      </c>
      <c r="E143" s="2" t="s">
        <v>8</v>
      </c>
      <c r="F143" s="2" t="s">
        <v>9</v>
      </c>
      <c r="G143" s="2" t="s">
        <v>10</v>
      </c>
      <c r="H143" s="2" t="s">
        <v>18</v>
      </c>
      <c r="I143" s="2">
        <f t="shared" si="4"/>
        <v>292.68</v>
      </c>
      <c r="J143" s="2">
        <f t="shared" si="5"/>
        <v>0.84579817362154663</v>
      </c>
    </row>
    <row r="144" spans="1:10" x14ac:dyDescent="0.3">
      <c r="A144" s="1">
        <v>45411</v>
      </c>
      <c r="B144">
        <v>237.32</v>
      </c>
      <c r="C144">
        <v>139.54</v>
      </c>
      <c r="D144">
        <v>1</v>
      </c>
      <c r="E144" s="2" t="s">
        <v>8</v>
      </c>
      <c r="F144" s="2" t="s">
        <v>17</v>
      </c>
      <c r="G144" s="2" t="s">
        <v>12</v>
      </c>
      <c r="H144" s="2" t="s">
        <v>11</v>
      </c>
      <c r="I144" s="2">
        <f t="shared" si="4"/>
        <v>97.78</v>
      </c>
      <c r="J144" s="2">
        <f t="shared" si="5"/>
        <v>0.70073097319764943</v>
      </c>
    </row>
    <row r="145" spans="1:10" x14ac:dyDescent="0.3">
      <c r="A145" s="1">
        <v>45374</v>
      </c>
      <c r="B145">
        <v>1373.92</v>
      </c>
      <c r="C145">
        <v>403.42</v>
      </c>
      <c r="D145">
        <v>10</v>
      </c>
      <c r="E145" s="2" t="s">
        <v>8</v>
      </c>
      <c r="F145" s="2" t="s">
        <v>17</v>
      </c>
      <c r="G145" s="2" t="s">
        <v>19</v>
      </c>
      <c r="H145" s="2" t="s">
        <v>18</v>
      </c>
      <c r="I145" s="2">
        <f t="shared" si="4"/>
        <v>970.5</v>
      </c>
      <c r="J145" s="2">
        <f t="shared" si="5"/>
        <v>2.4056814238262851</v>
      </c>
    </row>
    <row r="146" spans="1:10" x14ac:dyDescent="0.3">
      <c r="A146" s="1">
        <v>45334</v>
      </c>
      <c r="B146">
        <v>1160.3</v>
      </c>
      <c r="C146">
        <v>479.51</v>
      </c>
      <c r="D146">
        <v>7</v>
      </c>
      <c r="E146" s="2" t="s">
        <v>8</v>
      </c>
      <c r="F146" s="2" t="s">
        <v>17</v>
      </c>
      <c r="G146" s="2" t="s">
        <v>19</v>
      </c>
      <c r="H146" s="2" t="s">
        <v>15</v>
      </c>
      <c r="I146" s="2">
        <f t="shared" si="4"/>
        <v>680.79</v>
      </c>
      <c r="J146" s="2">
        <f t="shared" si="5"/>
        <v>1.419761840211883</v>
      </c>
    </row>
    <row r="147" spans="1:10" x14ac:dyDescent="0.3">
      <c r="A147" s="1">
        <v>45317</v>
      </c>
      <c r="B147">
        <v>159.6</v>
      </c>
      <c r="C147">
        <v>359.72</v>
      </c>
      <c r="D147">
        <v>7</v>
      </c>
      <c r="E147" s="2" t="s">
        <v>16</v>
      </c>
      <c r="F147" s="2" t="s">
        <v>9</v>
      </c>
      <c r="G147" s="2" t="s">
        <v>14</v>
      </c>
      <c r="H147" s="2" t="s">
        <v>15</v>
      </c>
      <c r="I147" s="2">
        <f t="shared" si="4"/>
        <v>-200.12000000000003</v>
      </c>
      <c r="J147" s="2">
        <f t="shared" si="5"/>
        <v>-0.55632158345379745</v>
      </c>
    </row>
    <row r="148" spans="1:10" x14ac:dyDescent="0.3">
      <c r="A148" s="1">
        <v>45301</v>
      </c>
      <c r="B148">
        <v>1323.66</v>
      </c>
      <c r="C148">
        <v>470.98</v>
      </c>
      <c r="D148">
        <v>5</v>
      </c>
      <c r="E148" s="2" t="s">
        <v>8</v>
      </c>
      <c r="F148" s="2" t="s">
        <v>9</v>
      </c>
      <c r="G148" s="2" t="s">
        <v>19</v>
      </c>
      <c r="H148" s="2" t="s">
        <v>11</v>
      </c>
      <c r="I148" s="2">
        <f t="shared" si="4"/>
        <v>852.68000000000006</v>
      </c>
      <c r="J148" s="2">
        <f t="shared" si="5"/>
        <v>1.8104378105227399</v>
      </c>
    </row>
    <row r="149" spans="1:10" x14ac:dyDescent="0.3">
      <c r="A149" s="1">
        <v>45303</v>
      </c>
      <c r="B149">
        <v>1261.95</v>
      </c>
      <c r="C149">
        <v>94.98</v>
      </c>
      <c r="D149">
        <v>2</v>
      </c>
      <c r="E149" s="2" t="s">
        <v>8</v>
      </c>
      <c r="F149" s="2" t="s">
        <v>17</v>
      </c>
      <c r="G149" s="2" t="s">
        <v>10</v>
      </c>
      <c r="H149" s="2" t="s">
        <v>11</v>
      </c>
      <c r="I149" s="2">
        <f t="shared" si="4"/>
        <v>1166.97</v>
      </c>
      <c r="J149" s="2">
        <f t="shared" si="5"/>
        <v>12.286481364497789</v>
      </c>
    </row>
    <row r="150" spans="1:10" x14ac:dyDescent="0.3">
      <c r="A150" s="1">
        <v>45309</v>
      </c>
      <c r="B150">
        <v>451.93</v>
      </c>
      <c r="C150">
        <v>316.44</v>
      </c>
      <c r="D150">
        <v>3</v>
      </c>
      <c r="E150" s="2" t="s">
        <v>8</v>
      </c>
      <c r="F150" s="2" t="s">
        <v>17</v>
      </c>
      <c r="G150" s="2" t="s">
        <v>10</v>
      </c>
      <c r="H150" s="2" t="s">
        <v>11</v>
      </c>
      <c r="I150" s="2">
        <f t="shared" si="4"/>
        <v>135.49</v>
      </c>
      <c r="J150" s="2">
        <f t="shared" si="5"/>
        <v>0.42816963721400586</v>
      </c>
    </row>
    <row r="151" spans="1:10" x14ac:dyDescent="0.3">
      <c r="A151" s="1">
        <v>45331</v>
      </c>
      <c r="B151">
        <v>643.51</v>
      </c>
      <c r="C151">
        <v>17.55</v>
      </c>
      <c r="D151">
        <v>2</v>
      </c>
      <c r="E151" s="2" t="s">
        <v>16</v>
      </c>
      <c r="F151" s="2" t="s">
        <v>17</v>
      </c>
      <c r="G151" s="2" t="s">
        <v>14</v>
      </c>
      <c r="H151" s="2" t="s">
        <v>20</v>
      </c>
      <c r="I151" s="2">
        <f t="shared" si="4"/>
        <v>625.96</v>
      </c>
      <c r="J151" s="2">
        <f t="shared" si="5"/>
        <v>35.667236467236471</v>
      </c>
    </row>
    <row r="152" spans="1:10" x14ac:dyDescent="0.3">
      <c r="A152" s="1">
        <v>45367</v>
      </c>
      <c r="B152">
        <v>336.48</v>
      </c>
      <c r="C152">
        <v>292.2</v>
      </c>
      <c r="D152">
        <v>6</v>
      </c>
      <c r="E152" s="2" t="s">
        <v>8</v>
      </c>
      <c r="F152" s="2" t="s">
        <v>9</v>
      </c>
      <c r="G152" s="2" t="s">
        <v>12</v>
      </c>
      <c r="H152" s="2" t="s">
        <v>20</v>
      </c>
      <c r="I152" s="2">
        <f t="shared" si="4"/>
        <v>44.28000000000003</v>
      </c>
      <c r="J152" s="2">
        <f t="shared" si="5"/>
        <v>0.15154004106776192</v>
      </c>
    </row>
    <row r="153" spans="1:10" x14ac:dyDescent="0.3">
      <c r="A153" s="1">
        <v>45333</v>
      </c>
      <c r="B153">
        <v>396.02</v>
      </c>
      <c r="C153">
        <v>22.27</v>
      </c>
      <c r="D153">
        <v>6</v>
      </c>
      <c r="E153" s="2" t="s">
        <v>8</v>
      </c>
      <c r="F153" s="2" t="s">
        <v>17</v>
      </c>
      <c r="G153" s="2" t="s">
        <v>10</v>
      </c>
      <c r="H153" s="2" t="s">
        <v>15</v>
      </c>
      <c r="I153" s="2">
        <f t="shared" si="4"/>
        <v>373.75</v>
      </c>
      <c r="J153" s="2">
        <f t="shared" si="5"/>
        <v>16.782667265379434</v>
      </c>
    </row>
    <row r="154" spans="1:10" x14ac:dyDescent="0.3">
      <c r="A154" s="1">
        <v>45360</v>
      </c>
      <c r="B154">
        <v>193.84</v>
      </c>
      <c r="C154">
        <v>123.96</v>
      </c>
      <c r="D154">
        <v>4</v>
      </c>
      <c r="E154" s="2" t="s">
        <v>13</v>
      </c>
      <c r="F154" s="2" t="s">
        <v>17</v>
      </c>
      <c r="G154" s="2" t="s">
        <v>12</v>
      </c>
      <c r="H154" s="2" t="s">
        <v>18</v>
      </c>
      <c r="I154" s="2">
        <f t="shared" si="4"/>
        <v>69.88000000000001</v>
      </c>
      <c r="J154" s="2">
        <f t="shared" si="5"/>
        <v>0.56373023555985813</v>
      </c>
    </row>
    <row r="155" spans="1:10" x14ac:dyDescent="0.3">
      <c r="A155" s="1">
        <v>45303</v>
      </c>
      <c r="B155">
        <v>1130.3699999999999</v>
      </c>
      <c r="C155">
        <v>74.02</v>
      </c>
      <c r="D155">
        <v>3</v>
      </c>
      <c r="E155" s="2" t="s">
        <v>8</v>
      </c>
      <c r="F155" s="2" t="s">
        <v>17</v>
      </c>
      <c r="G155" s="2" t="s">
        <v>10</v>
      </c>
      <c r="H155" s="2" t="s">
        <v>11</v>
      </c>
      <c r="I155" s="2">
        <f t="shared" si="4"/>
        <v>1056.3499999999999</v>
      </c>
      <c r="J155" s="2">
        <f t="shared" si="5"/>
        <v>14.27114293434207</v>
      </c>
    </row>
    <row r="156" spans="1:10" x14ac:dyDescent="0.3">
      <c r="A156" s="1">
        <v>45388</v>
      </c>
      <c r="B156">
        <v>790.18</v>
      </c>
      <c r="C156">
        <v>29</v>
      </c>
      <c r="D156">
        <v>1</v>
      </c>
      <c r="E156" s="2" t="s">
        <v>13</v>
      </c>
      <c r="F156" s="2" t="s">
        <v>17</v>
      </c>
      <c r="G156" s="2" t="s">
        <v>14</v>
      </c>
      <c r="H156" s="2" t="s">
        <v>11</v>
      </c>
      <c r="I156" s="2">
        <f t="shared" si="4"/>
        <v>761.18</v>
      </c>
      <c r="J156" s="2">
        <f t="shared" si="5"/>
        <v>26.24758620689655</v>
      </c>
    </row>
    <row r="157" spans="1:10" x14ac:dyDescent="0.3">
      <c r="A157" s="1">
        <v>45317</v>
      </c>
      <c r="B157">
        <v>929.91</v>
      </c>
      <c r="C157">
        <v>233.59</v>
      </c>
      <c r="D157">
        <v>1</v>
      </c>
      <c r="E157" s="2" t="s">
        <v>13</v>
      </c>
      <c r="F157" s="2" t="s">
        <v>17</v>
      </c>
      <c r="G157" s="2" t="s">
        <v>19</v>
      </c>
      <c r="H157" s="2" t="s">
        <v>20</v>
      </c>
      <c r="I157" s="2">
        <f t="shared" si="4"/>
        <v>696.31999999999994</v>
      </c>
      <c r="J157" s="2">
        <f t="shared" si="5"/>
        <v>2.9809495269489275</v>
      </c>
    </row>
    <row r="158" spans="1:10" x14ac:dyDescent="0.3">
      <c r="A158" s="1">
        <v>45302</v>
      </c>
      <c r="B158">
        <v>1118.48</v>
      </c>
      <c r="C158">
        <v>399.07</v>
      </c>
      <c r="D158">
        <v>10</v>
      </c>
      <c r="E158" s="2" t="s">
        <v>13</v>
      </c>
      <c r="F158" s="2" t="s">
        <v>17</v>
      </c>
      <c r="G158" s="2" t="s">
        <v>10</v>
      </c>
      <c r="H158" s="2" t="s">
        <v>18</v>
      </c>
      <c r="I158" s="2">
        <f t="shared" si="4"/>
        <v>719.41000000000008</v>
      </c>
      <c r="J158" s="2">
        <f t="shared" si="5"/>
        <v>1.802716315433383</v>
      </c>
    </row>
    <row r="159" spans="1:10" x14ac:dyDescent="0.3">
      <c r="A159" s="1">
        <v>45323</v>
      </c>
      <c r="B159">
        <v>780.72</v>
      </c>
      <c r="C159">
        <v>243.59</v>
      </c>
      <c r="D159">
        <v>0</v>
      </c>
      <c r="E159" s="2" t="s">
        <v>8</v>
      </c>
      <c r="F159" s="2" t="s">
        <v>17</v>
      </c>
      <c r="G159" s="2" t="s">
        <v>14</v>
      </c>
      <c r="H159" s="2" t="s">
        <v>15</v>
      </c>
      <c r="I159" s="2">
        <f t="shared" si="4"/>
        <v>537.13</v>
      </c>
      <c r="J159" s="2">
        <f t="shared" si="5"/>
        <v>2.2050576788866536</v>
      </c>
    </row>
    <row r="160" spans="1:10" x14ac:dyDescent="0.3">
      <c r="A160" s="1">
        <v>45401</v>
      </c>
      <c r="B160">
        <v>759.01</v>
      </c>
      <c r="C160">
        <v>192.27</v>
      </c>
      <c r="D160">
        <v>4</v>
      </c>
      <c r="E160" s="2" t="s">
        <v>8</v>
      </c>
      <c r="F160" s="2" t="s">
        <v>17</v>
      </c>
      <c r="G160" s="2" t="s">
        <v>10</v>
      </c>
      <c r="H160" s="2" t="s">
        <v>11</v>
      </c>
      <c r="I160" s="2">
        <f t="shared" si="4"/>
        <v>566.74</v>
      </c>
      <c r="J160" s="2">
        <f t="shared" si="5"/>
        <v>2.94762573464399</v>
      </c>
    </row>
    <row r="161" spans="1:10" x14ac:dyDescent="0.3">
      <c r="A161" s="1">
        <v>45373</v>
      </c>
      <c r="B161">
        <v>920.98</v>
      </c>
      <c r="C161">
        <v>365.44</v>
      </c>
      <c r="D161">
        <v>10</v>
      </c>
      <c r="E161" s="2" t="s">
        <v>8</v>
      </c>
      <c r="F161" s="2" t="s">
        <v>17</v>
      </c>
      <c r="G161" s="2" t="s">
        <v>14</v>
      </c>
      <c r="H161" s="2" t="s">
        <v>11</v>
      </c>
      <c r="I161" s="2">
        <f t="shared" si="4"/>
        <v>555.54</v>
      </c>
      <c r="J161" s="2">
        <f t="shared" si="5"/>
        <v>1.5201948336252189</v>
      </c>
    </row>
    <row r="162" spans="1:10" x14ac:dyDescent="0.3">
      <c r="A162" s="1">
        <v>45397</v>
      </c>
      <c r="B162">
        <v>1105.3800000000001</v>
      </c>
      <c r="C162">
        <v>128.69</v>
      </c>
      <c r="D162">
        <v>8</v>
      </c>
      <c r="E162" s="2" t="s">
        <v>13</v>
      </c>
      <c r="F162" s="2" t="s">
        <v>17</v>
      </c>
      <c r="G162" s="2" t="s">
        <v>12</v>
      </c>
      <c r="H162" s="2" t="s">
        <v>11</v>
      </c>
      <c r="I162" s="2">
        <f t="shared" si="4"/>
        <v>976.69</v>
      </c>
      <c r="J162" s="2">
        <f t="shared" si="5"/>
        <v>7.5894785919651886</v>
      </c>
    </row>
    <row r="163" spans="1:10" x14ac:dyDescent="0.3">
      <c r="A163" s="1">
        <v>45343</v>
      </c>
      <c r="B163">
        <v>1274.76</v>
      </c>
      <c r="C163">
        <v>35.22</v>
      </c>
      <c r="D163">
        <v>1</v>
      </c>
      <c r="E163" s="2" t="s">
        <v>8</v>
      </c>
      <c r="F163" s="2" t="s">
        <v>9</v>
      </c>
      <c r="G163" s="2" t="s">
        <v>19</v>
      </c>
      <c r="H163" s="2" t="s">
        <v>20</v>
      </c>
      <c r="I163" s="2">
        <f t="shared" si="4"/>
        <v>1239.54</v>
      </c>
      <c r="J163" s="2">
        <f t="shared" si="5"/>
        <v>35.194207836456556</v>
      </c>
    </row>
    <row r="164" spans="1:10" x14ac:dyDescent="0.3">
      <c r="A164" s="1">
        <v>45329</v>
      </c>
      <c r="B164">
        <v>70.53</v>
      </c>
      <c r="C164">
        <v>127.91</v>
      </c>
      <c r="D164">
        <v>3</v>
      </c>
      <c r="E164" s="2" t="s">
        <v>8</v>
      </c>
      <c r="F164" s="2" t="s">
        <v>17</v>
      </c>
      <c r="G164" s="2" t="s">
        <v>12</v>
      </c>
      <c r="H164" s="2" t="s">
        <v>11</v>
      </c>
      <c r="I164" s="2">
        <f t="shared" si="4"/>
        <v>-57.379999999999995</v>
      </c>
      <c r="J164" s="2">
        <f t="shared" si="5"/>
        <v>-0.44859666953326555</v>
      </c>
    </row>
    <row r="165" spans="1:10" x14ac:dyDescent="0.3">
      <c r="A165" s="1">
        <v>45302</v>
      </c>
      <c r="B165">
        <v>1009.49</v>
      </c>
      <c r="C165">
        <v>110.13</v>
      </c>
      <c r="D165">
        <v>5</v>
      </c>
      <c r="E165" s="2" t="s">
        <v>8</v>
      </c>
      <c r="F165" s="2" t="s">
        <v>17</v>
      </c>
      <c r="G165" s="2" t="s">
        <v>12</v>
      </c>
      <c r="H165" s="2" t="s">
        <v>11</v>
      </c>
      <c r="I165" s="2">
        <f t="shared" si="4"/>
        <v>899.36</v>
      </c>
      <c r="J165" s="2">
        <f t="shared" si="5"/>
        <v>8.1663488604376653</v>
      </c>
    </row>
    <row r="166" spans="1:10" x14ac:dyDescent="0.3">
      <c r="A166" s="1">
        <v>45361</v>
      </c>
      <c r="B166">
        <v>1441.23</v>
      </c>
      <c r="C166">
        <v>302.47000000000003</v>
      </c>
      <c r="D166">
        <v>1</v>
      </c>
      <c r="E166" s="2" t="s">
        <v>16</v>
      </c>
      <c r="F166" s="2" t="s">
        <v>17</v>
      </c>
      <c r="G166" s="2" t="s">
        <v>19</v>
      </c>
      <c r="H166" s="2" t="s">
        <v>18</v>
      </c>
      <c r="I166" s="2">
        <f t="shared" si="4"/>
        <v>1138.76</v>
      </c>
      <c r="J166" s="2">
        <f t="shared" si="5"/>
        <v>3.7648692432307334</v>
      </c>
    </row>
    <row r="167" spans="1:10" x14ac:dyDescent="0.3">
      <c r="A167" s="1">
        <v>45293</v>
      </c>
      <c r="B167">
        <v>1181.3</v>
      </c>
      <c r="C167">
        <v>200.38</v>
      </c>
      <c r="D167">
        <v>9</v>
      </c>
      <c r="E167" s="2" t="s">
        <v>8</v>
      </c>
      <c r="F167" s="2" t="s">
        <v>9</v>
      </c>
      <c r="G167" s="2" t="s">
        <v>10</v>
      </c>
      <c r="H167" s="2" t="s">
        <v>15</v>
      </c>
      <c r="I167" s="2">
        <f t="shared" si="4"/>
        <v>980.92</v>
      </c>
      <c r="J167" s="2">
        <f t="shared" si="5"/>
        <v>4.8952989320291449</v>
      </c>
    </row>
    <row r="168" spans="1:10" x14ac:dyDescent="0.3">
      <c r="A168" s="1">
        <v>45301</v>
      </c>
      <c r="B168">
        <v>246.82</v>
      </c>
      <c r="C168">
        <v>123.56</v>
      </c>
      <c r="D168">
        <v>0</v>
      </c>
      <c r="E168" s="2" t="s">
        <v>13</v>
      </c>
      <c r="F168" s="2" t="s">
        <v>9</v>
      </c>
      <c r="G168" s="2" t="s">
        <v>19</v>
      </c>
      <c r="H168" s="2" t="s">
        <v>11</v>
      </c>
      <c r="I168" s="2">
        <f t="shared" si="4"/>
        <v>123.25999999999999</v>
      </c>
      <c r="J168" s="2">
        <f t="shared" si="5"/>
        <v>0.99757202978310122</v>
      </c>
    </row>
    <row r="169" spans="1:10" x14ac:dyDescent="0.3">
      <c r="A169" s="1">
        <v>45382</v>
      </c>
      <c r="B169">
        <v>350.54</v>
      </c>
      <c r="C169">
        <v>178.14</v>
      </c>
      <c r="D169">
        <v>7</v>
      </c>
      <c r="E169" s="2" t="s">
        <v>16</v>
      </c>
      <c r="F169" s="2" t="s">
        <v>17</v>
      </c>
      <c r="G169" s="2" t="s">
        <v>19</v>
      </c>
      <c r="H169" s="2" t="s">
        <v>11</v>
      </c>
      <c r="I169" s="2">
        <f t="shared" si="4"/>
        <v>172.40000000000003</v>
      </c>
      <c r="J169" s="2">
        <f t="shared" si="5"/>
        <v>0.96777815201526918</v>
      </c>
    </row>
    <row r="170" spans="1:10" x14ac:dyDescent="0.3">
      <c r="A170" s="1">
        <v>45326</v>
      </c>
      <c r="B170">
        <v>1105.45</v>
      </c>
      <c r="C170">
        <v>219.95</v>
      </c>
      <c r="D170">
        <v>8</v>
      </c>
      <c r="E170" s="2" t="s">
        <v>16</v>
      </c>
      <c r="F170" s="2" t="s">
        <v>9</v>
      </c>
      <c r="G170" s="2" t="s">
        <v>19</v>
      </c>
      <c r="H170" s="2" t="s">
        <v>18</v>
      </c>
      <c r="I170" s="2">
        <f t="shared" si="4"/>
        <v>885.5</v>
      </c>
      <c r="J170" s="2">
        <f t="shared" si="5"/>
        <v>4.0259149806774266</v>
      </c>
    </row>
    <row r="171" spans="1:10" x14ac:dyDescent="0.3">
      <c r="A171" s="1">
        <v>45397</v>
      </c>
      <c r="B171">
        <v>1187.51</v>
      </c>
      <c r="C171">
        <v>139.29</v>
      </c>
      <c r="D171">
        <v>6</v>
      </c>
      <c r="E171" s="2" t="s">
        <v>16</v>
      </c>
      <c r="F171" s="2" t="s">
        <v>17</v>
      </c>
      <c r="G171" s="2" t="s">
        <v>19</v>
      </c>
      <c r="H171" s="2" t="s">
        <v>18</v>
      </c>
      <c r="I171" s="2">
        <f t="shared" si="4"/>
        <v>1048.22</v>
      </c>
      <c r="J171" s="2">
        <f t="shared" si="5"/>
        <v>7.5254504989590068</v>
      </c>
    </row>
    <row r="172" spans="1:10" x14ac:dyDescent="0.3">
      <c r="A172" s="1">
        <v>45348</v>
      </c>
      <c r="B172">
        <v>1389.7</v>
      </c>
      <c r="C172">
        <v>49.53</v>
      </c>
      <c r="D172">
        <v>1</v>
      </c>
      <c r="E172" s="2" t="s">
        <v>16</v>
      </c>
      <c r="F172" s="2" t="s">
        <v>9</v>
      </c>
      <c r="G172" s="2" t="s">
        <v>12</v>
      </c>
      <c r="H172" s="2" t="s">
        <v>18</v>
      </c>
      <c r="I172" s="2">
        <f t="shared" si="4"/>
        <v>1340.17</v>
      </c>
      <c r="J172" s="2">
        <f t="shared" si="5"/>
        <v>27.057742782152232</v>
      </c>
    </row>
    <row r="173" spans="1:10" x14ac:dyDescent="0.3">
      <c r="A173" s="1">
        <v>45368</v>
      </c>
      <c r="B173">
        <v>1409.09</v>
      </c>
      <c r="C173">
        <v>238.35</v>
      </c>
      <c r="D173">
        <v>9</v>
      </c>
      <c r="E173" s="2" t="s">
        <v>8</v>
      </c>
      <c r="F173" s="2" t="s">
        <v>9</v>
      </c>
      <c r="G173" s="2" t="s">
        <v>12</v>
      </c>
      <c r="H173" s="2" t="s">
        <v>15</v>
      </c>
      <c r="I173" s="2">
        <f t="shared" si="4"/>
        <v>1170.74</v>
      </c>
      <c r="J173" s="2">
        <f t="shared" si="5"/>
        <v>4.9118523180197187</v>
      </c>
    </row>
    <row r="174" spans="1:10" x14ac:dyDescent="0.3">
      <c r="A174" s="1">
        <v>45355</v>
      </c>
      <c r="B174">
        <v>104.01</v>
      </c>
      <c r="C174">
        <v>115.46</v>
      </c>
      <c r="D174">
        <v>6</v>
      </c>
      <c r="E174" s="2" t="s">
        <v>8</v>
      </c>
      <c r="F174" s="2" t="s">
        <v>17</v>
      </c>
      <c r="G174" s="2" t="s">
        <v>14</v>
      </c>
      <c r="H174" s="2" t="s">
        <v>20</v>
      </c>
      <c r="I174" s="2">
        <f t="shared" si="4"/>
        <v>-11.449999999999989</v>
      </c>
      <c r="J174" s="2">
        <f t="shared" si="5"/>
        <v>-9.9168543218430535E-2</v>
      </c>
    </row>
    <row r="175" spans="1:10" x14ac:dyDescent="0.3">
      <c r="A175" s="1">
        <v>45391</v>
      </c>
      <c r="B175">
        <v>313.39</v>
      </c>
      <c r="C175">
        <v>402.14</v>
      </c>
      <c r="D175">
        <v>5</v>
      </c>
      <c r="E175" s="2" t="s">
        <v>16</v>
      </c>
      <c r="F175" s="2" t="s">
        <v>17</v>
      </c>
      <c r="G175" s="2" t="s">
        <v>19</v>
      </c>
      <c r="H175" s="2" t="s">
        <v>20</v>
      </c>
      <c r="I175" s="2">
        <f t="shared" si="4"/>
        <v>-88.75</v>
      </c>
      <c r="J175" s="2">
        <f t="shared" si="5"/>
        <v>-0.22069428557218879</v>
      </c>
    </row>
    <row r="176" spans="1:10" x14ac:dyDescent="0.3">
      <c r="A176" s="1">
        <v>45352</v>
      </c>
      <c r="B176">
        <v>1004.98</v>
      </c>
      <c r="C176">
        <v>95.42</v>
      </c>
      <c r="D176">
        <v>3</v>
      </c>
      <c r="E176" s="2" t="s">
        <v>13</v>
      </c>
      <c r="F176" s="2" t="s">
        <v>17</v>
      </c>
      <c r="G176" s="2" t="s">
        <v>19</v>
      </c>
      <c r="H176" s="2" t="s">
        <v>15</v>
      </c>
      <c r="I176" s="2">
        <f t="shared" si="4"/>
        <v>909.56000000000006</v>
      </c>
      <c r="J176" s="2">
        <f t="shared" si="5"/>
        <v>9.5321735485223229</v>
      </c>
    </row>
    <row r="177" spans="1:10" x14ac:dyDescent="0.3">
      <c r="A177" s="1">
        <v>45335</v>
      </c>
      <c r="B177">
        <v>1439.44</v>
      </c>
      <c r="C177">
        <v>325.22000000000003</v>
      </c>
      <c r="D177">
        <v>3</v>
      </c>
      <c r="E177" s="2" t="s">
        <v>16</v>
      </c>
      <c r="F177" s="2" t="s">
        <v>17</v>
      </c>
      <c r="G177" s="2" t="s">
        <v>19</v>
      </c>
      <c r="H177" s="2" t="s">
        <v>15</v>
      </c>
      <c r="I177" s="2">
        <f t="shared" si="4"/>
        <v>1114.22</v>
      </c>
      <c r="J177" s="2">
        <f t="shared" si="5"/>
        <v>3.4260500584219913</v>
      </c>
    </row>
    <row r="178" spans="1:10" x14ac:dyDescent="0.3">
      <c r="A178" s="1">
        <v>45314</v>
      </c>
      <c r="B178">
        <v>566.54</v>
      </c>
      <c r="C178">
        <v>144.43</v>
      </c>
      <c r="D178">
        <v>0</v>
      </c>
      <c r="E178" s="2" t="s">
        <v>8</v>
      </c>
      <c r="F178" s="2" t="s">
        <v>9</v>
      </c>
      <c r="G178" s="2" t="s">
        <v>12</v>
      </c>
      <c r="H178" s="2" t="s">
        <v>15</v>
      </c>
      <c r="I178" s="2">
        <f t="shared" si="4"/>
        <v>422.10999999999996</v>
      </c>
      <c r="J178" s="2">
        <f t="shared" si="5"/>
        <v>2.9225922592259224</v>
      </c>
    </row>
    <row r="179" spans="1:10" x14ac:dyDescent="0.3">
      <c r="A179" s="1">
        <v>45307</v>
      </c>
      <c r="B179">
        <v>640.55999999999995</v>
      </c>
      <c r="C179">
        <v>194.21</v>
      </c>
      <c r="D179">
        <v>3</v>
      </c>
      <c r="E179" s="2" t="s">
        <v>13</v>
      </c>
      <c r="F179" s="2" t="s">
        <v>17</v>
      </c>
      <c r="G179" s="2" t="s">
        <v>10</v>
      </c>
      <c r="H179" s="2" t="s">
        <v>11</v>
      </c>
      <c r="I179" s="2">
        <f t="shared" si="4"/>
        <v>446.34999999999991</v>
      </c>
      <c r="J179" s="2">
        <f t="shared" si="5"/>
        <v>2.2982853612069403</v>
      </c>
    </row>
    <row r="180" spans="1:10" x14ac:dyDescent="0.3">
      <c r="A180" s="1">
        <v>45337</v>
      </c>
      <c r="B180">
        <v>684.01</v>
      </c>
      <c r="C180">
        <v>477.09</v>
      </c>
      <c r="D180">
        <v>0</v>
      </c>
      <c r="E180" s="2" t="s">
        <v>16</v>
      </c>
      <c r="F180" s="2" t="s">
        <v>9</v>
      </c>
      <c r="G180" s="2" t="s">
        <v>12</v>
      </c>
      <c r="H180" s="2" t="s">
        <v>15</v>
      </c>
      <c r="I180" s="2">
        <f t="shared" si="4"/>
        <v>206.92000000000002</v>
      </c>
      <c r="J180" s="2">
        <f t="shared" si="5"/>
        <v>0.43371271667819494</v>
      </c>
    </row>
    <row r="181" spans="1:10" x14ac:dyDescent="0.3">
      <c r="A181" s="1">
        <v>45376</v>
      </c>
      <c r="B181">
        <v>1113.3599999999999</v>
      </c>
      <c r="C181">
        <v>163</v>
      </c>
      <c r="D181">
        <v>3</v>
      </c>
      <c r="E181" s="2" t="s">
        <v>16</v>
      </c>
      <c r="F181" s="2" t="s">
        <v>9</v>
      </c>
      <c r="G181" s="2" t="s">
        <v>12</v>
      </c>
      <c r="H181" s="2" t="s">
        <v>11</v>
      </c>
      <c r="I181" s="2">
        <f t="shared" si="4"/>
        <v>950.3599999999999</v>
      </c>
      <c r="J181" s="2">
        <f t="shared" si="5"/>
        <v>5.8304294478527598</v>
      </c>
    </row>
    <row r="182" spans="1:10" x14ac:dyDescent="0.3">
      <c r="A182" s="1">
        <v>45297</v>
      </c>
      <c r="B182">
        <v>467.5</v>
      </c>
      <c r="C182">
        <v>70.2</v>
      </c>
      <c r="D182">
        <v>0</v>
      </c>
      <c r="E182" s="2" t="s">
        <v>8</v>
      </c>
      <c r="F182" s="2" t="s">
        <v>9</v>
      </c>
      <c r="G182" s="2" t="s">
        <v>10</v>
      </c>
      <c r="H182" s="2" t="s">
        <v>18</v>
      </c>
      <c r="I182" s="2">
        <f t="shared" si="4"/>
        <v>397.3</v>
      </c>
      <c r="J182" s="2">
        <f t="shared" si="5"/>
        <v>5.6595441595441596</v>
      </c>
    </row>
    <row r="183" spans="1:10" x14ac:dyDescent="0.3">
      <c r="A183" s="1">
        <v>45295</v>
      </c>
      <c r="B183">
        <v>616.66999999999996</v>
      </c>
      <c r="C183">
        <v>14.65</v>
      </c>
      <c r="D183">
        <v>4</v>
      </c>
      <c r="E183" s="2" t="s">
        <v>16</v>
      </c>
      <c r="F183" s="2" t="s">
        <v>9</v>
      </c>
      <c r="G183" s="2" t="s">
        <v>14</v>
      </c>
      <c r="H183" s="2" t="s">
        <v>11</v>
      </c>
      <c r="I183" s="2">
        <f t="shared" si="4"/>
        <v>602.02</v>
      </c>
      <c r="J183" s="2">
        <f t="shared" si="5"/>
        <v>41.09351535836177</v>
      </c>
    </row>
    <row r="184" spans="1:10" x14ac:dyDescent="0.3">
      <c r="A184" s="1">
        <v>45358</v>
      </c>
      <c r="B184">
        <v>873.58</v>
      </c>
      <c r="C184">
        <v>335.48</v>
      </c>
      <c r="D184">
        <v>4</v>
      </c>
      <c r="E184" s="2" t="s">
        <v>16</v>
      </c>
      <c r="F184" s="2" t="s">
        <v>17</v>
      </c>
      <c r="G184" s="2" t="s">
        <v>14</v>
      </c>
      <c r="H184" s="2" t="s">
        <v>18</v>
      </c>
      <c r="I184" s="2">
        <f t="shared" si="4"/>
        <v>538.1</v>
      </c>
      <c r="J184" s="2">
        <f t="shared" si="5"/>
        <v>1.6039704304280433</v>
      </c>
    </row>
    <row r="185" spans="1:10" x14ac:dyDescent="0.3">
      <c r="A185" s="1">
        <v>45385</v>
      </c>
      <c r="B185">
        <v>1443.29</v>
      </c>
      <c r="C185">
        <v>208.51</v>
      </c>
      <c r="D185">
        <v>1</v>
      </c>
      <c r="E185" s="2" t="s">
        <v>16</v>
      </c>
      <c r="F185" s="2" t="s">
        <v>9</v>
      </c>
      <c r="G185" s="2" t="s">
        <v>12</v>
      </c>
      <c r="H185" s="2" t="s">
        <v>20</v>
      </c>
      <c r="I185" s="2">
        <f t="shared" si="4"/>
        <v>1234.78</v>
      </c>
      <c r="J185" s="2">
        <f t="shared" si="5"/>
        <v>5.921922209965949</v>
      </c>
    </row>
    <row r="186" spans="1:10" x14ac:dyDescent="0.3">
      <c r="A186" s="1">
        <v>45379</v>
      </c>
      <c r="B186">
        <v>1366.25</v>
      </c>
      <c r="C186">
        <v>430.05</v>
      </c>
      <c r="D186">
        <v>6</v>
      </c>
      <c r="E186" s="2" t="s">
        <v>16</v>
      </c>
      <c r="F186" s="2" t="s">
        <v>17</v>
      </c>
      <c r="G186" s="2" t="s">
        <v>12</v>
      </c>
      <c r="H186" s="2" t="s">
        <v>20</v>
      </c>
      <c r="I186" s="2">
        <f t="shared" si="4"/>
        <v>936.2</v>
      </c>
      <c r="J186" s="2">
        <f t="shared" si="5"/>
        <v>2.1769561678874552</v>
      </c>
    </row>
    <row r="187" spans="1:10" x14ac:dyDescent="0.3">
      <c r="A187" s="1">
        <v>45350</v>
      </c>
      <c r="B187">
        <v>995.97</v>
      </c>
      <c r="C187">
        <v>328.33</v>
      </c>
      <c r="D187">
        <v>7</v>
      </c>
      <c r="E187" s="2" t="s">
        <v>16</v>
      </c>
      <c r="F187" s="2" t="s">
        <v>17</v>
      </c>
      <c r="G187" s="2" t="s">
        <v>14</v>
      </c>
      <c r="H187" s="2" t="s">
        <v>11</v>
      </c>
      <c r="I187" s="2">
        <f t="shared" si="4"/>
        <v>667.6400000000001</v>
      </c>
      <c r="J187" s="2">
        <f t="shared" si="5"/>
        <v>2.0334419638778063</v>
      </c>
    </row>
    <row r="188" spans="1:10" x14ac:dyDescent="0.3">
      <c r="A188" s="1">
        <v>45348</v>
      </c>
      <c r="B188">
        <v>1241.43</v>
      </c>
      <c r="C188">
        <v>167.04</v>
      </c>
      <c r="D188">
        <v>1</v>
      </c>
      <c r="E188" s="2" t="s">
        <v>16</v>
      </c>
      <c r="F188" s="2" t="s">
        <v>17</v>
      </c>
      <c r="G188" s="2" t="s">
        <v>19</v>
      </c>
      <c r="H188" s="2" t="s">
        <v>15</v>
      </c>
      <c r="I188" s="2">
        <f t="shared" si="4"/>
        <v>1074.3900000000001</v>
      </c>
      <c r="J188" s="2">
        <f t="shared" si="5"/>
        <v>6.4319324712643686</v>
      </c>
    </row>
    <row r="189" spans="1:10" x14ac:dyDescent="0.3">
      <c r="A189" s="1">
        <v>45306</v>
      </c>
      <c r="B189">
        <v>849.18</v>
      </c>
      <c r="C189">
        <v>194.78</v>
      </c>
      <c r="D189">
        <v>6</v>
      </c>
      <c r="E189" s="2" t="s">
        <v>13</v>
      </c>
      <c r="F189" s="2" t="s">
        <v>17</v>
      </c>
      <c r="G189" s="2" t="s">
        <v>19</v>
      </c>
      <c r="H189" s="2" t="s">
        <v>18</v>
      </c>
      <c r="I189" s="2">
        <f t="shared" si="4"/>
        <v>654.4</v>
      </c>
      <c r="J189" s="2">
        <f t="shared" si="5"/>
        <v>3.3596878529623164</v>
      </c>
    </row>
    <row r="190" spans="1:10" x14ac:dyDescent="0.3">
      <c r="A190" s="1">
        <v>45332</v>
      </c>
      <c r="B190">
        <v>723.56</v>
      </c>
      <c r="C190">
        <v>425.24</v>
      </c>
      <c r="D190">
        <v>8</v>
      </c>
      <c r="E190" s="2" t="s">
        <v>16</v>
      </c>
      <c r="F190" s="2" t="s">
        <v>17</v>
      </c>
      <c r="G190" s="2" t="s">
        <v>12</v>
      </c>
      <c r="H190" s="2" t="s">
        <v>15</v>
      </c>
      <c r="I190" s="2">
        <f t="shared" si="4"/>
        <v>298.31999999999994</v>
      </c>
      <c r="J190" s="2">
        <f t="shared" si="5"/>
        <v>0.701533251810742</v>
      </c>
    </row>
    <row r="191" spans="1:10" x14ac:dyDescent="0.3">
      <c r="A191" s="1">
        <v>45359</v>
      </c>
      <c r="B191">
        <v>436.58</v>
      </c>
      <c r="C191">
        <v>347.2</v>
      </c>
      <c r="D191">
        <v>2</v>
      </c>
      <c r="E191" s="2" t="s">
        <v>8</v>
      </c>
      <c r="F191" s="2" t="s">
        <v>9</v>
      </c>
      <c r="G191" s="2" t="s">
        <v>10</v>
      </c>
      <c r="H191" s="2" t="s">
        <v>15</v>
      </c>
      <c r="I191" s="2">
        <f t="shared" si="4"/>
        <v>89.38</v>
      </c>
      <c r="J191" s="2">
        <f t="shared" si="5"/>
        <v>0.25743087557603689</v>
      </c>
    </row>
    <row r="192" spans="1:10" x14ac:dyDescent="0.3">
      <c r="A192" s="1">
        <v>45360</v>
      </c>
      <c r="B192">
        <v>201.74</v>
      </c>
      <c r="C192">
        <v>17.8</v>
      </c>
      <c r="D192">
        <v>10</v>
      </c>
      <c r="E192" s="2" t="s">
        <v>16</v>
      </c>
      <c r="F192" s="2" t="s">
        <v>17</v>
      </c>
      <c r="G192" s="2" t="s">
        <v>12</v>
      </c>
      <c r="H192" s="2" t="s">
        <v>20</v>
      </c>
      <c r="I192" s="2">
        <f t="shared" si="4"/>
        <v>183.94</v>
      </c>
      <c r="J192" s="2">
        <f t="shared" si="5"/>
        <v>10.333707865168538</v>
      </c>
    </row>
    <row r="193" spans="1:10" x14ac:dyDescent="0.3">
      <c r="A193" s="1">
        <v>45310</v>
      </c>
      <c r="B193">
        <v>307.83999999999997</v>
      </c>
      <c r="C193">
        <v>441.6</v>
      </c>
      <c r="D193">
        <v>5</v>
      </c>
      <c r="E193" s="2" t="s">
        <v>13</v>
      </c>
      <c r="F193" s="2" t="s">
        <v>9</v>
      </c>
      <c r="G193" s="2" t="s">
        <v>12</v>
      </c>
      <c r="H193" s="2" t="s">
        <v>11</v>
      </c>
      <c r="I193" s="2">
        <f t="shared" si="4"/>
        <v>-133.76000000000005</v>
      </c>
      <c r="J193" s="2">
        <f t="shared" si="5"/>
        <v>-0.30289855072463778</v>
      </c>
    </row>
    <row r="194" spans="1:10" x14ac:dyDescent="0.3">
      <c r="A194" s="1">
        <v>45356</v>
      </c>
      <c r="B194">
        <v>1092.53</v>
      </c>
      <c r="C194">
        <v>262.38</v>
      </c>
      <c r="D194">
        <v>2</v>
      </c>
      <c r="E194" s="2" t="s">
        <v>8</v>
      </c>
      <c r="F194" s="2" t="s">
        <v>17</v>
      </c>
      <c r="G194" s="2" t="s">
        <v>19</v>
      </c>
      <c r="H194" s="2" t="s">
        <v>18</v>
      </c>
      <c r="I194" s="2">
        <f t="shared" ref="I194:I257" si="6">B194-C194</f>
        <v>830.15</v>
      </c>
      <c r="J194" s="2">
        <f t="shared" ref="J194:J257" si="7">IF(C194=0,0,I194/C194)</f>
        <v>3.1639225550727952</v>
      </c>
    </row>
    <row r="195" spans="1:10" x14ac:dyDescent="0.3">
      <c r="A195" s="1">
        <v>45317</v>
      </c>
      <c r="B195">
        <v>899.03</v>
      </c>
      <c r="C195">
        <v>329.54</v>
      </c>
      <c r="D195">
        <v>0</v>
      </c>
      <c r="E195" s="2" t="s">
        <v>8</v>
      </c>
      <c r="F195" s="2" t="s">
        <v>9</v>
      </c>
      <c r="G195" s="2" t="s">
        <v>10</v>
      </c>
      <c r="H195" s="2" t="s">
        <v>20</v>
      </c>
      <c r="I195" s="2">
        <f t="shared" si="6"/>
        <v>569.49</v>
      </c>
      <c r="J195" s="2">
        <f t="shared" si="7"/>
        <v>1.7281361898403835</v>
      </c>
    </row>
    <row r="196" spans="1:10" x14ac:dyDescent="0.3">
      <c r="A196" s="1">
        <v>45292</v>
      </c>
      <c r="B196">
        <v>1061.5899999999999</v>
      </c>
      <c r="C196">
        <v>458.89</v>
      </c>
      <c r="D196">
        <v>6</v>
      </c>
      <c r="E196" s="2" t="s">
        <v>8</v>
      </c>
      <c r="F196" s="2" t="s">
        <v>17</v>
      </c>
      <c r="G196" s="2" t="s">
        <v>19</v>
      </c>
      <c r="H196" s="2" t="s">
        <v>18</v>
      </c>
      <c r="I196" s="2">
        <f t="shared" si="6"/>
        <v>602.69999999999993</v>
      </c>
      <c r="J196" s="2">
        <f t="shared" si="7"/>
        <v>1.3133866503955196</v>
      </c>
    </row>
    <row r="197" spans="1:10" x14ac:dyDescent="0.3">
      <c r="A197" s="1">
        <v>45388</v>
      </c>
      <c r="B197">
        <v>184.28</v>
      </c>
      <c r="C197">
        <v>148.06</v>
      </c>
      <c r="D197">
        <v>0</v>
      </c>
      <c r="E197" s="2" t="s">
        <v>16</v>
      </c>
      <c r="F197" s="2" t="s">
        <v>17</v>
      </c>
      <c r="G197" s="2" t="s">
        <v>14</v>
      </c>
      <c r="H197" s="2" t="s">
        <v>15</v>
      </c>
      <c r="I197" s="2">
        <f t="shared" si="6"/>
        <v>36.22</v>
      </c>
      <c r="J197" s="2">
        <f t="shared" si="7"/>
        <v>0.24463055518033228</v>
      </c>
    </row>
    <row r="198" spans="1:10" x14ac:dyDescent="0.3">
      <c r="A198" s="1">
        <v>45309</v>
      </c>
      <c r="B198">
        <v>800.36</v>
      </c>
      <c r="C198">
        <v>494.76</v>
      </c>
      <c r="D198">
        <v>8</v>
      </c>
      <c r="E198" s="2" t="s">
        <v>13</v>
      </c>
      <c r="F198" s="2" t="s">
        <v>9</v>
      </c>
      <c r="G198" s="2" t="s">
        <v>10</v>
      </c>
      <c r="H198" s="2" t="s">
        <v>15</v>
      </c>
      <c r="I198" s="2">
        <f t="shared" si="6"/>
        <v>305.60000000000002</v>
      </c>
      <c r="J198" s="2">
        <f t="shared" si="7"/>
        <v>0.61767321529630537</v>
      </c>
    </row>
    <row r="199" spans="1:10" x14ac:dyDescent="0.3">
      <c r="A199" s="1">
        <v>45390</v>
      </c>
      <c r="B199">
        <v>510.76</v>
      </c>
      <c r="C199">
        <v>91.39</v>
      </c>
      <c r="D199">
        <v>7</v>
      </c>
      <c r="E199" s="2" t="s">
        <v>16</v>
      </c>
      <c r="F199" s="2" t="s">
        <v>17</v>
      </c>
      <c r="G199" s="2" t="s">
        <v>19</v>
      </c>
      <c r="H199" s="2" t="s">
        <v>18</v>
      </c>
      <c r="I199" s="2">
        <f t="shared" si="6"/>
        <v>419.37</v>
      </c>
      <c r="J199" s="2">
        <f t="shared" si="7"/>
        <v>4.5887952730057995</v>
      </c>
    </row>
    <row r="200" spans="1:10" x14ac:dyDescent="0.3">
      <c r="A200" s="1">
        <v>45412</v>
      </c>
      <c r="B200">
        <v>1383.33</v>
      </c>
      <c r="C200">
        <v>374.25</v>
      </c>
      <c r="D200">
        <v>7</v>
      </c>
      <c r="E200" s="2" t="s">
        <v>13</v>
      </c>
      <c r="F200" s="2" t="s">
        <v>9</v>
      </c>
      <c r="G200" s="2" t="s">
        <v>19</v>
      </c>
      <c r="H200" s="2" t="s">
        <v>20</v>
      </c>
      <c r="I200" s="2">
        <f t="shared" si="6"/>
        <v>1009.0799999999999</v>
      </c>
      <c r="J200" s="2">
        <f t="shared" si="7"/>
        <v>2.6962725450901801</v>
      </c>
    </row>
    <row r="201" spans="1:10" x14ac:dyDescent="0.3">
      <c r="A201" s="1">
        <v>45337</v>
      </c>
      <c r="B201">
        <v>1055.3599999999999</v>
      </c>
      <c r="C201">
        <v>449.13</v>
      </c>
      <c r="D201">
        <v>1</v>
      </c>
      <c r="E201" s="2" t="s">
        <v>8</v>
      </c>
      <c r="F201" s="2" t="s">
        <v>17</v>
      </c>
      <c r="G201" s="2" t="s">
        <v>19</v>
      </c>
      <c r="H201" s="2" t="s">
        <v>11</v>
      </c>
      <c r="I201" s="2">
        <f t="shared" si="6"/>
        <v>606.2299999999999</v>
      </c>
      <c r="J201" s="2">
        <f t="shared" si="7"/>
        <v>1.3497873666867053</v>
      </c>
    </row>
    <row r="202" spans="1:10" x14ac:dyDescent="0.3">
      <c r="A202" s="1">
        <v>45369</v>
      </c>
      <c r="B202">
        <v>75.47</v>
      </c>
      <c r="C202">
        <v>459.3</v>
      </c>
      <c r="D202">
        <v>6</v>
      </c>
      <c r="E202" s="2" t="s">
        <v>8</v>
      </c>
      <c r="F202" s="2" t="s">
        <v>9</v>
      </c>
      <c r="G202" s="2" t="s">
        <v>14</v>
      </c>
      <c r="H202" s="2" t="s">
        <v>20</v>
      </c>
      <c r="I202" s="2">
        <f t="shared" si="6"/>
        <v>-383.83000000000004</v>
      </c>
      <c r="J202" s="2">
        <f t="shared" si="7"/>
        <v>-0.83568473764424134</v>
      </c>
    </row>
    <row r="203" spans="1:10" x14ac:dyDescent="0.3">
      <c r="A203" s="1">
        <v>45336</v>
      </c>
      <c r="B203">
        <v>471.61</v>
      </c>
      <c r="C203">
        <v>405.64</v>
      </c>
      <c r="D203">
        <v>8</v>
      </c>
      <c r="E203" s="2" t="s">
        <v>8</v>
      </c>
      <c r="F203" s="2" t="s">
        <v>17</v>
      </c>
      <c r="G203" s="2" t="s">
        <v>12</v>
      </c>
      <c r="H203" s="2" t="s">
        <v>11</v>
      </c>
      <c r="I203" s="2">
        <f t="shared" si="6"/>
        <v>65.970000000000027</v>
      </c>
      <c r="J203" s="2">
        <f t="shared" si="7"/>
        <v>0.16263189034611977</v>
      </c>
    </row>
    <row r="204" spans="1:10" x14ac:dyDescent="0.3">
      <c r="A204" s="1">
        <v>45328</v>
      </c>
      <c r="B204">
        <v>94.33</v>
      </c>
      <c r="C204">
        <v>126.36</v>
      </c>
      <c r="D204">
        <v>7</v>
      </c>
      <c r="E204" s="2" t="s">
        <v>16</v>
      </c>
      <c r="F204" s="2" t="s">
        <v>17</v>
      </c>
      <c r="G204" s="2" t="s">
        <v>14</v>
      </c>
      <c r="H204" s="2" t="s">
        <v>11</v>
      </c>
      <c r="I204" s="2">
        <f t="shared" si="6"/>
        <v>-32.03</v>
      </c>
      <c r="J204" s="2">
        <f t="shared" si="7"/>
        <v>-0.25348211459322573</v>
      </c>
    </row>
    <row r="205" spans="1:10" x14ac:dyDescent="0.3">
      <c r="A205" s="1">
        <v>45293</v>
      </c>
      <c r="B205">
        <v>1374.11</v>
      </c>
      <c r="C205">
        <v>271.06</v>
      </c>
      <c r="D205">
        <v>8</v>
      </c>
      <c r="E205" s="2" t="s">
        <v>13</v>
      </c>
      <c r="F205" s="2" t="s">
        <v>17</v>
      </c>
      <c r="G205" s="2" t="s">
        <v>19</v>
      </c>
      <c r="H205" s="2" t="s">
        <v>11</v>
      </c>
      <c r="I205" s="2">
        <f t="shared" si="6"/>
        <v>1103.05</v>
      </c>
      <c r="J205" s="2">
        <f t="shared" si="7"/>
        <v>4.069394230059765</v>
      </c>
    </row>
    <row r="206" spans="1:10" x14ac:dyDescent="0.3">
      <c r="A206" s="1">
        <v>45327</v>
      </c>
      <c r="B206">
        <v>1270.78</v>
      </c>
      <c r="C206">
        <v>270.32</v>
      </c>
      <c r="D206">
        <v>4</v>
      </c>
      <c r="E206" s="2" t="s">
        <v>13</v>
      </c>
      <c r="F206" s="2" t="s">
        <v>17</v>
      </c>
      <c r="G206" s="2" t="s">
        <v>10</v>
      </c>
      <c r="H206" s="2" t="s">
        <v>18</v>
      </c>
      <c r="I206" s="2">
        <f t="shared" si="6"/>
        <v>1000.46</v>
      </c>
      <c r="J206" s="2">
        <f t="shared" si="7"/>
        <v>3.7010210121337677</v>
      </c>
    </row>
    <row r="207" spans="1:10" x14ac:dyDescent="0.3">
      <c r="A207" s="1">
        <v>45299</v>
      </c>
      <c r="B207">
        <v>1483.37</v>
      </c>
      <c r="C207">
        <v>180.93</v>
      </c>
      <c r="D207">
        <v>5</v>
      </c>
      <c r="E207" s="2" t="s">
        <v>16</v>
      </c>
      <c r="F207" s="2" t="s">
        <v>9</v>
      </c>
      <c r="G207" s="2" t="s">
        <v>12</v>
      </c>
      <c r="H207" s="2" t="s">
        <v>18</v>
      </c>
      <c r="I207" s="2">
        <f t="shared" si="6"/>
        <v>1302.4399999999998</v>
      </c>
      <c r="J207" s="2">
        <f t="shared" si="7"/>
        <v>7.1985850881556388</v>
      </c>
    </row>
    <row r="208" spans="1:10" x14ac:dyDescent="0.3">
      <c r="A208" s="1">
        <v>45297</v>
      </c>
      <c r="B208">
        <v>191.91</v>
      </c>
      <c r="C208">
        <v>250.46</v>
      </c>
      <c r="D208">
        <v>5</v>
      </c>
      <c r="E208" s="2" t="s">
        <v>8</v>
      </c>
      <c r="F208" s="2" t="s">
        <v>17</v>
      </c>
      <c r="G208" s="2" t="s">
        <v>19</v>
      </c>
      <c r="H208" s="2" t="s">
        <v>15</v>
      </c>
      <c r="I208" s="2">
        <f t="shared" si="6"/>
        <v>-58.550000000000011</v>
      </c>
      <c r="J208" s="2">
        <f t="shared" si="7"/>
        <v>-0.23376986345124973</v>
      </c>
    </row>
    <row r="209" spans="1:10" x14ac:dyDescent="0.3">
      <c r="A209" s="1">
        <v>45373</v>
      </c>
      <c r="B209">
        <v>97.69</v>
      </c>
      <c r="C209">
        <v>469.31</v>
      </c>
      <c r="D209">
        <v>6</v>
      </c>
      <c r="E209" s="2" t="s">
        <v>8</v>
      </c>
      <c r="F209" s="2" t="s">
        <v>9</v>
      </c>
      <c r="G209" s="2" t="s">
        <v>12</v>
      </c>
      <c r="H209" s="2" t="s">
        <v>18</v>
      </c>
      <c r="I209" s="2">
        <f t="shared" si="6"/>
        <v>-371.62</v>
      </c>
      <c r="J209" s="2">
        <f t="shared" si="7"/>
        <v>-0.79184334448445592</v>
      </c>
    </row>
    <row r="210" spans="1:10" x14ac:dyDescent="0.3">
      <c r="A210" s="1">
        <v>45297</v>
      </c>
      <c r="B210">
        <v>236.97</v>
      </c>
      <c r="C210">
        <v>111.26</v>
      </c>
      <c r="D210">
        <v>6</v>
      </c>
      <c r="E210" s="2" t="s">
        <v>13</v>
      </c>
      <c r="F210" s="2" t="s">
        <v>17</v>
      </c>
      <c r="G210" s="2" t="s">
        <v>10</v>
      </c>
      <c r="H210" s="2" t="s">
        <v>11</v>
      </c>
      <c r="I210" s="2">
        <f t="shared" si="6"/>
        <v>125.71</v>
      </c>
      <c r="J210" s="2">
        <f t="shared" si="7"/>
        <v>1.1298759662052849</v>
      </c>
    </row>
    <row r="211" spans="1:10" x14ac:dyDescent="0.3">
      <c r="A211" s="1">
        <v>45373</v>
      </c>
      <c r="B211">
        <v>869.2</v>
      </c>
      <c r="C211">
        <v>14.76</v>
      </c>
      <c r="D211">
        <v>8</v>
      </c>
      <c r="E211" s="2" t="s">
        <v>13</v>
      </c>
      <c r="F211" s="2" t="s">
        <v>9</v>
      </c>
      <c r="G211" s="2" t="s">
        <v>19</v>
      </c>
      <c r="H211" s="2" t="s">
        <v>15</v>
      </c>
      <c r="I211" s="2">
        <f t="shared" si="6"/>
        <v>854.44</v>
      </c>
      <c r="J211" s="2">
        <f t="shared" si="7"/>
        <v>57.888888888888893</v>
      </c>
    </row>
    <row r="212" spans="1:10" x14ac:dyDescent="0.3">
      <c r="A212" s="1">
        <v>45353</v>
      </c>
      <c r="B212">
        <v>828.69</v>
      </c>
      <c r="C212">
        <v>387.31</v>
      </c>
      <c r="D212">
        <v>7</v>
      </c>
      <c r="E212" s="2" t="s">
        <v>16</v>
      </c>
      <c r="F212" s="2" t="s">
        <v>17</v>
      </c>
      <c r="G212" s="2" t="s">
        <v>19</v>
      </c>
      <c r="H212" s="2" t="s">
        <v>15</v>
      </c>
      <c r="I212" s="2">
        <f t="shared" si="6"/>
        <v>441.38000000000005</v>
      </c>
      <c r="J212" s="2">
        <f t="shared" si="7"/>
        <v>1.1396039348325633</v>
      </c>
    </row>
    <row r="213" spans="1:10" x14ac:dyDescent="0.3">
      <c r="A213" s="1">
        <v>45401</v>
      </c>
      <c r="B213">
        <v>692.82</v>
      </c>
      <c r="C213">
        <v>184.41</v>
      </c>
      <c r="D213">
        <v>0</v>
      </c>
      <c r="E213" s="2" t="s">
        <v>16</v>
      </c>
      <c r="F213" s="2" t="s">
        <v>9</v>
      </c>
      <c r="G213" s="2" t="s">
        <v>10</v>
      </c>
      <c r="H213" s="2" t="s">
        <v>18</v>
      </c>
      <c r="I213" s="2">
        <f t="shared" si="6"/>
        <v>508.41000000000008</v>
      </c>
      <c r="J213" s="2">
        <f t="shared" si="7"/>
        <v>2.756954612005857</v>
      </c>
    </row>
    <row r="214" spans="1:10" x14ac:dyDescent="0.3">
      <c r="A214" s="1">
        <v>45411</v>
      </c>
      <c r="B214">
        <v>276.95999999999998</v>
      </c>
      <c r="C214">
        <v>99.99</v>
      </c>
      <c r="D214">
        <v>2</v>
      </c>
      <c r="E214" s="2" t="s">
        <v>8</v>
      </c>
      <c r="F214" s="2" t="s">
        <v>9</v>
      </c>
      <c r="G214" s="2" t="s">
        <v>12</v>
      </c>
      <c r="H214" s="2" t="s">
        <v>18</v>
      </c>
      <c r="I214" s="2">
        <f t="shared" si="6"/>
        <v>176.96999999999997</v>
      </c>
      <c r="J214" s="2">
        <f t="shared" si="7"/>
        <v>1.7698769876987697</v>
      </c>
    </row>
    <row r="215" spans="1:10" x14ac:dyDescent="0.3">
      <c r="A215" s="1">
        <v>45400</v>
      </c>
      <c r="B215">
        <v>368.38</v>
      </c>
      <c r="C215">
        <v>37.54</v>
      </c>
      <c r="D215">
        <v>7</v>
      </c>
      <c r="E215" s="2" t="s">
        <v>13</v>
      </c>
      <c r="F215" s="2" t="s">
        <v>17</v>
      </c>
      <c r="G215" s="2" t="s">
        <v>10</v>
      </c>
      <c r="H215" s="2" t="s">
        <v>20</v>
      </c>
      <c r="I215" s="2">
        <f t="shared" si="6"/>
        <v>330.84</v>
      </c>
      <c r="J215" s="2">
        <f t="shared" si="7"/>
        <v>8.812999467234949</v>
      </c>
    </row>
    <row r="216" spans="1:10" x14ac:dyDescent="0.3">
      <c r="A216" s="1">
        <v>45332</v>
      </c>
      <c r="B216">
        <v>1485.29</v>
      </c>
      <c r="C216">
        <v>209.3</v>
      </c>
      <c r="D216">
        <v>0</v>
      </c>
      <c r="E216" s="2" t="s">
        <v>16</v>
      </c>
      <c r="F216" s="2" t="s">
        <v>17</v>
      </c>
      <c r="G216" s="2" t="s">
        <v>12</v>
      </c>
      <c r="H216" s="2" t="s">
        <v>18</v>
      </c>
      <c r="I216" s="2">
        <f t="shared" si="6"/>
        <v>1275.99</v>
      </c>
      <c r="J216" s="2">
        <f t="shared" si="7"/>
        <v>6.0964644051600567</v>
      </c>
    </row>
    <row r="217" spans="1:10" x14ac:dyDescent="0.3">
      <c r="A217" s="1">
        <v>45344</v>
      </c>
      <c r="B217">
        <v>768.9</v>
      </c>
      <c r="C217">
        <v>413.13</v>
      </c>
      <c r="D217">
        <v>8</v>
      </c>
      <c r="E217" s="2" t="s">
        <v>13</v>
      </c>
      <c r="F217" s="2" t="s">
        <v>17</v>
      </c>
      <c r="G217" s="2" t="s">
        <v>10</v>
      </c>
      <c r="H217" s="2" t="s">
        <v>18</v>
      </c>
      <c r="I217" s="2">
        <f t="shared" si="6"/>
        <v>355.77</v>
      </c>
      <c r="J217" s="2">
        <f t="shared" si="7"/>
        <v>0.86115750490160481</v>
      </c>
    </row>
    <row r="218" spans="1:10" x14ac:dyDescent="0.3">
      <c r="A218" s="1">
        <v>45371</v>
      </c>
      <c r="B218">
        <v>844.17</v>
      </c>
      <c r="C218">
        <v>216.58</v>
      </c>
      <c r="D218">
        <v>7</v>
      </c>
      <c r="E218" s="2" t="s">
        <v>16</v>
      </c>
      <c r="F218" s="2" t="s">
        <v>17</v>
      </c>
      <c r="G218" s="2" t="s">
        <v>12</v>
      </c>
      <c r="H218" s="2" t="s">
        <v>20</v>
      </c>
      <c r="I218" s="2">
        <f t="shared" si="6"/>
        <v>627.58999999999992</v>
      </c>
      <c r="J218" s="2">
        <f t="shared" si="7"/>
        <v>2.8977283220980694</v>
      </c>
    </row>
    <row r="219" spans="1:10" x14ac:dyDescent="0.3">
      <c r="A219" s="1">
        <v>45343</v>
      </c>
      <c r="B219">
        <v>442.9</v>
      </c>
      <c r="C219">
        <v>424.46</v>
      </c>
      <c r="D219">
        <v>9</v>
      </c>
      <c r="E219" s="2" t="s">
        <v>8</v>
      </c>
      <c r="F219" s="2" t="s">
        <v>17</v>
      </c>
      <c r="G219" s="2" t="s">
        <v>10</v>
      </c>
      <c r="H219" s="2" t="s">
        <v>15</v>
      </c>
      <c r="I219" s="2">
        <f t="shared" si="6"/>
        <v>18.439999999999998</v>
      </c>
      <c r="J219" s="2">
        <f t="shared" si="7"/>
        <v>4.344343401027187E-2</v>
      </c>
    </row>
    <row r="220" spans="1:10" x14ac:dyDescent="0.3">
      <c r="A220" s="1">
        <v>45323</v>
      </c>
      <c r="B220">
        <v>353.33</v>
      </c>
      <c r="C220">
        <v>129.85</v>
      </c>
      <c r="D220">
        <v>5</v>
      </c>
      <c r="E220" s="2" t="s">
        <v>13</v>
      </c>
      <c r="F220" s="2" t="s">
        <v>17</v>
      </c>
      <c r="G220" s="2" t="s">
        <v>19</v>
      </c>
      <c r="H220" s="2" t="s">
        <v>18</v>
      </c>
      <c r="I220" s="2">
        <f t="shared" si="6"/>
        <v>223.48</v>
      </c>
      <c r="J220" s="2">
        <f t="shared" si="7"/>
        <v>1.7210627647285328</v>
      </c>
    </row>
    <row r="221" spans="1:10" x14ac:dyDescent="0.3">
      <c r="A221" s="1">
        <v>45350</v>
      </c>
      <c r="B221">
        <v>665.9</v>
      </c>
      <c r="C221">
        <v>187.16</v>
      </c>
      <c r="D221">
        <v>4</v>
      </c>
      <c r="E221" s="2" t="s">
        <v>13</v>
      </c>
      <c r="F221" s="2" t="s">
        <v>17</v>
      </c>
      <c r="G221" s="2" t="s">
        <v>12</v>
      </c>
      <c r="H221" s="2" t="s">
        <v>11</v>
      </c>
      <c r="I221" s="2">
        <f t="shared" si="6"/>
        <v>478.74</v>
      </c>
      <c r="J221" s="2">
        <f t="shared" si="7"/>
        <v>2.5579183586236378</v>
      </c>
    </row>
    <row r="222" spans="1:10" x14ac:dyDescent="0.3">
      <c r="A222" s="1">
        <v>45348</v>
      </c>
      <c r="B222">
        <v>519.01</v>
      </c>
      <c r="C222">
        <v>444.94</v>
      </c>
      <c r="D222">
        <v>2</v>
      </c>
      <c r="E222" s="2" t="s">
        <v>13</v>
      </c>
      <c r="F222" s="2" t="s">
        <v>9</v>
      </c>
      <c r="G222" s="2" t="s">
        <v>10</v>
      </c>
      <c r="H222" s="2" t="s">
        <v>18</v>
      </c>
      <c r="I222" s="2">
        <f t="shared" si="6"/>
        <v>74.069999999999993</v>
      </c>
      <c r="J222" s="2">
        <f t="shared" si="7"/>
        <v>0.16647188384950778</v>
      </c>
    </row>
    <row r="223" spans="1:10" x14ac:dyDescent="0.3">
      <c r="A223" s="1">
        <v>45306</v>
      </c>
      <c r="B223">
        <v>705.33</v>
      </c>
      <c r="C223">
        <v>194.12</v>
      </c>
      <c r="D223">
        <v>8</v>
      </c>
      <c r="E223" s="2" t="s">
        <v>8</v>
      </c>
      <c r="F223" s="2" t="s">
        <v>17</v>
      </c>
      <c r="G223" s="2" t="s">
        <v>19</v>
      </c>
      <c r="H223" s="2" t="s">
        <v>11</v>
      </c>
      <c r="I223" s="2">
        <f t="shared" si="6"/>
        <v>511.21000000000004</v>
      </c>
      <c r="J223" s="2">
        <f t="shared" si="7"/>
        <v>2.6334741397073977</v>
      </c>
    </row>
    <row r="224" spans="1:10" x14ac:dyDescent="0.3">
      <c r="A224" s="1">
        <v>45352</v>
      </c>
      <c r="B224">
        <v>812.31</v>
      </c>
      <c r="C224">
        <v>88.64</v>
      </c>
      <c r="D224">
        <v>7</v>
      </c>
      <c r="E224" s="2" t="s">
        <v>16</v>
      </c>
      <c r="F224" s="2" t="s">
        <v>17</v>
      </c>
      <c r="G224" s="2" t="s">
        <v>19</v>
      </c>
      <c r="H224" s="2" t="s">
        <v>15</v>
      </c>
      <c r="I224" s="2">
        <f t="shared" si="6"/>
        <v>723.67</v>
      </c>
      <c r="J224" s="2">
        <f t="shared" si="7"/>
        <v>8.1641471119133566</v>
      </c>
    </row>
    <row r="225" spans="1:10" x14ac:dyDescent="0.3">
      <c r="A225" s="1">
        <v>45338</v>
      </c>
      <c r="B225">
        <v>1143.49</v>
      </c>
      <c r="C225">
        <v>244.66</v>
      </c>
      <c r="D225">
        <v>6</v>
      </c>
      <c r="E225" s="2" t="s">
        <v>13</v>
      </c>
      <c r="F225" s="2" t="s">
        <v>9</v>
      </c>
      <c r="G225" s="2" t="s">
        <v>12</v>
      </c>
      <c r="H225" s="2" t="s">
        <v>18</v>
      </c>
      <c r="I225" s="2">
        <f t="shared" si="6"/>
        <v>898.83</v>
      </c>
      <c r="J225" s="2">
        <f t="shared" si="7"/>
        <v>3.6737922014223825</v>
      </c>
    </row>
    <row r="226" spans="1:10" x14ac:dyDescent="0.3">
      <c r="A226" s="1">
        <v>45308</v>
      </c>
      <c r="B226">
        <v>276.05</v>
      </c>
      <c r="C226">
        <v>232.27</v>
      </c>
      <c r="D226">
        <v>1</v>
      </c>
      <c r="E226" s="2" t="s">
        <v>13</v>
      </c>
      <c r="F226" s="2" t="s">
        <v>17</v>
      </c>
      <c r="G226" s="2" t="s">
        <v>10</v>
      </c>
      <c r="H226" s="2" t="s">
        <v>15</v>
      </c>
      <c r="I226" s="2">
        <f t="shared" si="6"/>
        <v>43.78</v>
      </c>
      <c r="J226" s="2">
        <f t="shared" si="7"/>
        <v>0.18848753605717483</v>
      </c>
    </row>
    <row r="227" spans="1:10" x14ac:dyDescent="0.3">
      <c r="A227" s="1">
        <v>45336</v>
      </c>
      <c r="B227">
        <v>365.47</v>
      </c>
      <c r="C227">
        <v>302.17</v>
      </c>
      <c r="D227">
        <v>1</v>
      </c>
      <c r="E227" s="2" t="s">
        <v>16</v>
      </c>
      <c r="F227" s="2" t="s">
        <v>9</v>
      </c>
      <c r="G227" s="2" t="s">
        <v>14</v>
      </c>
      <c r="H227" s="2" t="s">
        <v>15</v>
      </c>
      <c r="I227" s="2">
        <f t="shared" si="6"/>
        <v>63.300000000000011</v>
      </c>
      <c r="J227" s="2">
        <f t="shared" si="7"/>
        <v>0.20948472714035149</v>
      </c>
    </row>
    <row r="228" spans="1:10" x14ac:dyDescent="0.3">
      <c r="A228" s="1">
        <v>45334</v>
      </c>
      <c r="B228">
        <v>1144.8399999999999</v>
      </c>
      <c r="C228">
        <v>22.19</v>
      </c>
      <c r="D228">
        <v>9</v>
      </c>
      <c r="E228" s="2" t="s">
        <v>13</v>
      </c>
      <c r="F228" s="2" t="s">
        <v>9</v>
      </c>
      <c r="G228" s="2" t="s">
        <v>19</v>
      </c>
      <c r="H228" s="2" t="s">
        <v>18</v>
      </c>
      <c r="I228" s="2">
        <f t="shared" si="6"/>
        <v>1122.6499999999999</v>
      </c>
      <c r="J228" s="2">
        <f t="shared" si="7"/>
        <v>50.592609283461009</v>
      </c>
    </row>
    <row r="229" spans="1:10" x14ac:dyDescent="0.3">
      <c r="A229" s="1">
        <v>45363</v>
      </c>
      <c r="B229">
        <v>409.44</v>
      </c>
      <c r="C229">
        <v>22.24</v>
      </c>
      <c r="D229">
        <v>0</v>
      </c>
      <c r="E229" s="2" t="s">
        <v>13</v>
      </c>
      <c r="F229" s="2" t="s">
        <v>17</v>
      </c>
      <c r="G229" s="2" t="s">
        <v>14</v>
      </c>
      <c r="H229" s="2" t="s">
        <v>15</v>
      </c>
      <c r="I229" s="2">
        <f t="shared" si="6"/>
        <v>387.2</v>
      </c>
      <c r="J229" s="2">
        <f t="shared" si="7"/>
        <v>17.410071942446045</v>
      </c>
    </row>
    <row r="230" spans="1:10" x14ac:dyDescent="0.3">
      <c r="A230" s="1">
        <v>45370</v>
      </c>
      <c r="B230">
        <v>831.08</v>
      </c>
      <c r="C230">
        <v>140.13999999999999</v>
      </c>
      <c r="D230">
        <v>5</v>
      </c>
      <c r="E230" s="2" t="s">
        <v>16</v>
      </c>
      <c r="F230" s="2" t="s">
        <v>17</v>
      </c>
      <c r="G230" s="2" t="s">
        <v>10</v>
      </c>
      <c r="H230" s="2" t="s">
        <v>20</v>
      </c>
      <c r="I230" s="2">
        <f t="shared" si="6"/>
        <v>690.94</v>
      </c>
      <c r="J230" s="2">
        <f t="shared" si="7"/>
        <v>4.9303553589267883</v>
      </c>
    </row>
    <row r="231" spans="1:10" x14ac:dyDescent="0.3">
      <c r="A231" s="1">
        <v>45306</v>
      </c>
      <c r="B231">
        <v>558.01</v>
      </c>
      <c r="C231">
        <v>205.45</v>
      </c>
      <c r="D231">
        <v>6</v>
      </c>
      <c r="E231" s="2" t="s">
        <v>13</v>
      </c>
      <c r="F231" s="2" t="s">
        <v>9</v>
      </c>
      <c r="G231" s="2" t="s">
        <v>10</v>
      </c>
      <c r="H231" s="2" t="s">
        <v>11</v>
      </c>
      <c r="I231" s="2">
        <f t="shared" si="6"/>
        <v>352.56</v>
      </c>
      <c r="J231" s="2">
        <f t="shared" si="7"/>
        <v>1.7160379654417135</v>
      </c>
    </row>
    <row r="232" spans="1:10" x14ac:dyDescent="0.3">
      <c r="A232" s="1">
        <v>45293</v>
      </c>
      <c r="B232">
        <v>414.11</v>
      </c>
      <c r="C232">
        <v>101.76</v>
      </c>
      <c r="D232">
        <v>2</v>
      </c>
      <c r="E232" s="2" t="s">
        <v>16</v>
      </c>
      <c r="F232" s="2" t="s">
        <v>9</v>
      </c>
      <c r="G232" s="2" t="s">
        <v>14</v>
      </c>
      <c r="H232" s="2" t="s">
        <v>15</v>
      </c>
      <c r="I232" s="2">
        <f t="shared" si="6"/>
        <v>312.35000000000002</v>
      </c>
      <c r="J232" s="2">
        <f t="shared" si="7"/>
        <v>3.0694772012578615</v>
      </c>
    </row>
    <row r="233" spans="1:10" x14ac:dyDescent="0.3">
      <c r="A233" s="1">
        <v>45382</v>
      </c>
      <c r="B233">
        <v>270.58</v>
      </c>
      <c r="C233">
        <v>208.12</v>
      </c>
      <c r="D233">
        <v>7</v>
      </c>
      <c r="E233" s="2" t="s">
        <v>13</v>
      </c>
      <c r="F233" s="2" t="s">
        <v>9</v>
      </c>
      <c r="G233" s="2" t="s">
        <v>14</v>
      </c>
      <c r="H233" s="2" t="s">
        <v>15</v>
      </c>
      <c r="I233" s="2">
        <f t="shared" si="6"/>
        <v>62.45999999999998</v>
      </c>
      <c r="J233" s="2">
        <f t="shared" si="7"/>
        <v>0.30011531808571967</v>
      </c>
    </row>
    <row r="234" spans="1:10" x14ac:dyDescent="0.3">
      <c r="A234" s="1">
        <v>45379</v>
      </c>
      <c r="B234">
        <v>935.16</v>
      </c>
      <c r="C234">
        <v>315.64</v>
      </c>
      <c r="D234">
        <v>9</v>
      </c>
      <c r="E234" s="2" t="s">
        <v>16</v>
      </c>
      <c r="F234" s="2" t="s">
        <v>9</v>
      </c>
      <c r="G234" s="2" t="s">
        <v>19</v>
      </c>
      <c r="H234" s="2" t="s">
        <v>20</v>
      </c>
      <c r="I234" s="2">
        <f t="shared" si="6"/>
        <v>619.52</v>
      </c>
      <c r="J234" s="2">
        <f t="shared" si="7"/>
        <v>1.9627423647193005</v>
      </c>
    </row>
    <row r="235" spans="1:10" x14ac:dyDescent="0.3">
      <c r="A235" s="1">
        <v>45343</v>
      </c>
      <c r="B235">
        <v>107.84</v>
      </c>
      <c r="C235">
        <v>211.78</v>
      </c>
      <c r="D235">
        <v>2</v>
      </c>
      <c r="E235" s="2" t="s">
        <v>8</v>
      </c>
      <c r="F235" s="2" t="s">
        <v>17</v>
      </c>
      <c r="G235" s="2" t="s">
        <v>14</v>
      </c>
      <c r="H235" s="2" t="s">
        <v>18</v>
      </c>
      <c r="I235" s="2">
        <f t="shared" si="6"/>
        <v>-103.94</v>
      </c>
      <c r="J235" s="2">
        <f t="shared" si="7"/>
        <v>-0.4907923316649353</v>
      </c>
    </row>
    <row r="236" spans="1:10" x14ac:dyDescent="0.3">
      <c r="A236" s="1">
        <v>45305</v>
      </c>
      <c r="B236">
        <v>245.39</v>
      </c>
      <c r="C236">
        <v>317.45999999999998</v>
      </c>
      <c r="D236">
        <v>2</v>
      </c>
      <c r="E236" s="2" t="s">
        <v>8</v>
      </c>
      <c r="F236" s="2" t="s">
        <v>17</v>
      </c>
      <c r="G236" s="2" t="s">
        <v>14</v>
      </c>
      <c r="H236" s="2" t="s">
        <v>15</v>
      </c>
      <c r="I236" s="2">
        <f t="shared" si="6"/>
        <v>-72.069999999999993</v>
      </c>
      <c r="J236" s="2">
        <f t="shared" si="7"/>
        <v>-0.22702072702072701</v>
      </c>
    </row>
    <row r="237" spans="1:10" x14ac:dyDescent="0.3">
      <c r="A237" s="1">
        <v>45324</v>
      </c>
      <c r="B237">
        <v>1045.42</v>
      </c>
      <c r="C237">
        <v>482.05</v>
      </c>
      <c r="D237">
        <v>5</v>
      </c>
      <c r="E237" s="2" t="s">
        <v>8</v>
      </c>
      <c r="F237" s="2" t="s">
        <v>17</v>
      </c>
      <c r="G237" s="2" t="s">
        <v>10</v>
      </c>
      <c r="H237" s="2" t="s">
        <v>11</v>
      </c>
      <c r="I237" s="2">
        <f t="shared" si="6"/>
        <v>563.37000000000012</v>
      </c>
      <c r="J237" s="2">
        <f t="shared" si="7"/>
        <v>1.1686961933409399</v>
      </c>
    </row>
    <row r="238" spans="1:10" x14ac:dyDescent="0.3">
      <c r="A238" s="1">
        <v>45316</v>
      </c>
      <c r="B238">
        <v>276.54000000000002</v>
      </c>
      <c r="C238">
        <v>448.62</v>
      </c>
      <c r="D238">
        <v>2</v>
      </c>
      <c r="E238" s="2" t="s">
        <v>8</v>
      </c>
      <c r="F238" s="2" t="s">
        <v>9</v>
      </c>
      <c r="G238" s="2" t="s">
        <v>14</v>
      </c>
      <c r="H238" s="2" t="s">
        <v>20</v>
      </c>
      <c r="I238" s="2">
        <f t="shared" si="6"/>
        <v>-172.07999999999998</v>
      </c>
      <c r="J238" s="2">
        <f t="shared" si="7"/>
        <v>-0.38357630065534304</v>
      </c>
    </row>
    <row r="239" spans="1:10" x14ac:dyDescent="0.3">
      <c r="A239" s="1">
        <v>45404</v>
      </c>
      <c r="B239">
        <v>479.68</v>
      </c>
      <c r="C239">
        <v>148.32</v>
      </c>
      <c r="D239">
        <v>7</v>
      </c>
      <c r="E239" s="2" t="s">
        <v>8</v>
      </c>
      <c r="F239" s="2" t="s">
        <v>9</v>
      </c>
      <c r="G239" s="2" t="s">
        <v>10</v>
      </c>
      <c r="H239" s="2" t="s">
        <v>11</v>
      </c>
      <c r="I239" s="2">
        <f t="shared" si="6"/>
        <v>331.36</v>
      </c>
      <c r="J239" s="2">
        <f t="shared" si="7"/>
        <v>2.2340884573894284</v>
      </c>
    </row>
    <row r="240" spans="1:10" x14ac:dyDescent="0.3">
      <c r="A240" s="1">
        <v>45382</v>
      </c>
      <c r="B240">
        <v>1093.94</v>
      </c>
      <c r="C240">
        <v>53.94</v>
      </c>
      <c r="D240">
        <v>6</v>
      </c>
      <c r="E240" s="2" t="s">
        <v>8</v>
      </c>
      <c r="F240" s="2" t="s">
        <v>17</v>
      </c>
      <c r="G240" s="2" t="s">
        <v>19</v>
      </c>
      <c r="H240" s="2" t="s">
        <v>15</v>
      </c>
      <c r="I240" s="2">
        <f t="shared" si="6"/>
        <v>1040</v>
      </c>
      <c r="J240" s="2">
        <f t="shared" si="7"/>
        <v>19.280682239525401</v>
      </c>
    </row>
    <row r="241" spans="1:10" x14ac:dyDescent="0.3">
      <c r="A241" s="1">
        <v>45388</v>
      </c>
      <c r="B241">
        <v>1205.76</v>
      </c>
      <c r="C241">
        <v>496.33</v>
      </c>
      <c r="D241">
        <v>8</v>
      </c>
      <c r="E241" s="2" t="s">
        <v>8</v>
      </c>
      <c r="F241" s="2" t="s">
        <v>17</v>
      </c>
      <c r="G241" s="2" t="s">
        <v>19</v>
      </c>
      <c r="H241" s="2" t="s">
        <v>20</v>
      </c>
      <c r="I241" s="2">
        <f t="shared" si="6"/>
        <v>709.43000000000006</v>
      </c>
      <c r="J241" s="2">
        <f t="shared" si="7"/>
        <v>1.4293514395664177</v>
      </c>
    </row>
    <row r="242" spans="1:10" x14ac:dyDescent="0.3">
      <c r="A242" s="1">
        <v>45401</v>
      </c>
      <c r="B242">
        <v>1143.22</v>
      </c>
      <c r="C242">
        <v>180.92</v>
      </c>
      <c r="D242">
        <v>10</v>
      </c>
      <c r="E242" s="2" t="s">
        <v>13</v>
      </c>
      <c r="F242" s="2" t="s">
        <v>9</v>
      </c>
      <c r="G242" s="2" t="s">
        <v>19</v>
      </c>
      <c r="H242" s="2" t="s">
        <v>11</v>
      </c>
      <c r="I242" s="2">
        <f t="shared" si="6"/>
        <v>962.30000000000007</v>
      </c>
      <c r="J242" s="2">
        <f t="shared" si="7"/>
        <v>5.3189254919301359</v>
      </c>
    </row>
    <row r="243" spans="1:10" x14ac:dyDescent="0.3">
      <c r="A243" s="1">
        <v>45297</v>
      </c>
      <c r="B243">
        <v>1255.6300000000001</v>
      </c>
      <c r="C243">
        <v>346.71</v>
      </c>
      <c r="D243">
        <v>4</v>
      </c>
      <c r="E243" s="2" t="s">
        <v>8</v>
      </c>
      <c r="F243" s="2" t="s">
        <v>9</v>
      </c>
      <c r="G243" s="2" t="s">
        <v>10</v>
      </c>
      <c r="H243" s="2" t="s">
        <v>11</v>
      </c>
      <c r="I243" s="2">
        <f t="shared" si="6"/>
        <v>908.92000000000007</v>
      </c>
      <c r="J243" s="2">
        <f t="shared" si="7"/>
        <v>2.6215569207695197</v>
      </c>
    </row>
    <row r="244" spans="1:10" x14ac:dyDescent="0.3">
      <c r="A244" s="1">
        <v>45359</v>
      </c>
      <c r="B244">
        <v>390.77</v>
      </c>
      <c r="C244">
        <v>462.3</v>
      </c>
      <c r="D244">
        <v>4</v>
      </c>
      <c r="E244" s="2" t="s">
        <v>13</v>
      </c>
      <c r="F244" s="2" t="s">
        <v>17</v>
      </c>
      <c r="G244" s="2" t="s">
        <v>12</v>
      </c>
      <c r="H244" s="2" t="s">
        <v>18</v>
      </c>
      <c r="I244" s="2">
        <f t="shared" si="6"/>
        <v>-71.53000000000003</v>
      </c>
      <c r="J244" s="2">
        <f t="shared" si="7"/>
        <v>-0.15472636815920404</v>
      </c>
    </row>
    <row r="245" spans="1:10" x14ac:dyDescent="0.3">
      <c r="A245" s="1">
        <v>45392</v>
      </c>
      <c r="B245">
        <v>879.83</v>
      </c>
      <c r="C245">
        <v>393.24</v>
      </c>
      <c r="D245">
        <v>8</v>
      </c>
      <c r="E245" s="2" t="s">
        <v>13</v>
      </c>
      <c r="F245" s="2" t="s">
        <v>9</v>
      </c>
      <c r="G245" s="2" t="s">
        <v>12</v>
      </c>
      <c r="H245" s="2" t="s">
        <v>20</v>
      </c>
      <c r="I245" s="2">
        <f t="shared" si="6"/>
        <v>486.59000000000003</v>
      </c>
      <c r="J245" s="2">
        <f t="shared" si="7"/>
        <v>1.2373868375546739</v>
      </c>
    </row>
    <row r="246" spans="1:10" x14ac:dyDescent="0.3">
      <c r="A246" s="1">
        <v>45367</v>
      </c>
      <c r="B246">
        <v>1375.66</v>
      </c>
      <c r="C246">
        <v>331.45</v>
      </c>
      <c r="D246">
        <v>1</v>
      </c>
      <c r="E246" s="2" t="s">
        <v>16</v>
      </c>
      <c r="F246" s="2" t="s">
        <v>9</v>
      </c>
      <c r="G246" s="2" t="s">
        <v>10</v>
      </c>
      <c r="H246" s="2" t="s">
        <v>18</v>
      </c>
      <c r="I246" s="2">
        <f t="shared" si="6"/>
        <v>1044.21</v>
      </c>
      <c r="J246" s="2">
        <f t="shared" si="7"/>
        <v>3.150429929099412</v>
      </c>
    </row>
    <row r="247" spans="1:10" x14ac:dyDescent="0.3">
      <c r="A247" s="1">
        <v>45343</v>
      </c>
      <c r="B247">
        <v>1249.07</v>
      </c>
      <c r="C247">
        <v>410.6</v>
      </c>
      <c r="D247">
        <v>1</v>
      </c>
      <c r="E247" s="2" t="s">
        <v>13</v>
      </c>
      <c r="F247" s="2" t="s">
        <v>9</v>
      </c>
      <c r="G247" s="2" t="s">
        <v>14</v>
      </c>
      <c r="H247" s="2" t="s">
        <v>11</v>
      </c>
      <c r="I247" s="2">
        <f t="shared" si="6"/>
        <v>838.46999999999991</v>
      </c>
      <c r="J247" s="2">
        <f t="shared" si="7"/>
        <v>2.0420603994154893</v>
      </c>
    </row>
    <row r="248" spans="1:10" x14ac:dyDescent="0.3">
      <c r="A248" s="1">
        <v>45299</v>
      </c>
      <c r="B248">
        <v>924</v>
      </c>
      <c r="C248">
        <v>181.89</v>
      </c>
      <c r="D248">
        <v>5</v>
      </c>
      <c r="E248" s="2" t="s">
        <v>13</v>
      </c>
      <c r="F248" s="2" t="s">
        <v>17</v>
      </c>
      <c r="G248" s="2" t="s">
        <v>14</v>
      </c>
      <c r="H248" s="2" t="s">
        <v>18</v>
      </c>
      <c r="I248" s="2">
        <f t="shared" si="6"/>
        <v>742.11</v>
      </c>
      <c r="J248" s="2">
        <f t="shared" si="7"/>
        <v>4.0799934026059708</v>
      </c>
    </row>
    <row r="249" spans="1:10" x14ac:dyDescent="0.3">
      <c r="A249" s="1">
        <v>45292</v>
      </c>
      <c r="B249">
        <v>500.92</v>
      </c>
      <c r="C249">
        <v>423.54</v>
      </c>
      <c r="D249">
        <v>6</v>
      </c>
      <c r="E249" s="2" t="s">
        <v>16</v>
      </c>
      <c r="F249" s="2" t="s">
        <v>17</v>
      </c>
      <c r="G249" s="2" t="s">
        <v>12</v>
      </c>
      <c r="H249" s="2" t="s">
        <v>11</v>
      </c>
      <c r="I249" s="2">
        <f t="shared" si="6"/>
        <v>77.38</v>
      </c>
      <c r="J249" s="2">
        <f t="shared" si="7"/>
        <v>0.18269821032251971</v>
      </c>
    </row>
    <row r="250" spans="1:10" x14ac:dyDescent="0.3">
      <c r="A250" s="1">
        <v>45369</v>
      </c>
      <c r="B250">
        <v>276.25</v>
      </c>
      <c r="C250">
        <v>401.99</v>
      </c>
      <c r="D250">
        <v>3</v>
      </c>
      <c r="E250" s="2" t="s">
        <v>16</v>
      </c>
      <c r="F250" s="2" t="s">
        <v>17</v>
      </c>
      <c r="G250" s="2" t="s">
        <v>12</v>
      </c>
      <c r="H250" s="2" t="s">
        <v>20</v>
      </c>
      <c r="I250" s="2">
        <f t="shared" si="6"/>
        <v>-125.74000000000001</v>
      </c>
      <c r="J250" s="2">
        <f t="shared" si="7"/>
        <v>-0.31279385059329834</v>
      </c>
    </row>
    <row r="251" spans="1:10" x14ac:dyDescent="0.3">
      <c r="A251" s="1">
        <v>45366</v>
      </c>
      <c r="B251">
        <v>1328.89</v>
      </c>
      <c r="C251">
        <v>263.92</v>
      </c>
      <c r="D251">
        <v>3</v>
      </c>
      <c r="E251" s="2" t="s">
        <v>13</v>
      </c>
      <c r="F251" s="2" t="s">
        <v>17</v>
      </c>
      <c r="G251" s="2" t="s">
        <v>12</v>
      </c>
      <c r="H251" s="2" t="s">
        <v>15</v>
      </c>
      <c r="I251" s="2">
        <f t="shared" si="6"/>
        <v>1064.97</v>
      </c>
      <c r="J251" s="2">
        <f t="shared" si="7"/>
        <v>4.0352000606244314</v>
      </c>
    </row>
    <row r="252" spans="1:10" x14ac:dyDescent="0.3">
      <c r="A252" s="1">
        <v>45350</v>
      </c>
      <c r="B252">
        <v>1303.6500000000001</v>
      </c>
      <c r="C252">
        <v>356.87</v>
      </c>
      <c r="D252">
        <v>2</v>
      </c>
      <c r="E252" s="2" t="s">
        <v>8</v>
      </c>
      <c r="F252" s="2" t="s">
        <v>9</v>
      </c>
      <c r="G252" s="2" t="s">
        <v>19</v>
      </c>
      <c r="H252" s="2" t="s">
        <v>18</v>
      </c>
      <c r="I252" s="2">
        <f t="shared" si="6"/>
        <v>946.78000000000009</v>
      </c>
      <c r="J252" s="2">
        <f t="shared" si="7"/>
        <v>2.6530109003278506</v>
      </c>
    </row>
    <row r="253" spans="1:10" x14ac:dyDescent="0.3">
      <c r="A253" s="1">
        <v>45311</v>
      </c>
      <c r="B253">
        <v>876.45</v>
      </c>
      <c r="C253">
        <v>119.11</v>
      </c>
      <c r="D253">
        <v>10</v>
      </c>
      <c r="E253" s="2" t="s">
        <v>13</v>
      </c>
      <c r="F253" s="2" t="s">
        <v>9</v>
      </c>
      <c r="G253" s="2" t="s">
        <v>14</v>
      </c>
      <c r="H253" s="2" t="s">
        <v>20</v>
      </c>
      <c r="I253" s="2">
        <f t="shared" si="6"/>
        <v>757.34</v>
      </c>
      <c r="J253" s="2">
        <f t="shared" si="7"/>
        <v>6.358324238099236</v>
      </c>
    </row>
    <row r="254" spans="1:10" x14ac:dyDescent="0.3">
      <c r="A254" s="1">
        <v>45325</v>
      </c>
      <c r="B254">
        <v>900.47</v>
      </c>
      <c r="C254">
        <v>186.86</v>
      </c>
      <c r="D254">
        <v>7</v>
      </c>
      <c r="E254" s="2" t="s">
        <v>16</v>
      </c>
      <c r="F254" s="2" t="s">
        <v>17</v>
      </c>
      <c r="G254" s="2" t="s">
        <v>10</v>
      </c>
      <c r="H254" s="2" t="s">
        <v>18</v>
      </c>
      <c r="I254" s="2">
        <f t="shared" si="6"/>
        <v>713.61</v>
      </c>
      <c r="J254" s="2">
        <f t="shared" si="7"/>
        <v>3.8189553676549286</v>
      </c>
    </row>
    <row r="255" spans="1:10" x14ac:dyDescent="0.3">
      <c r="A255" s="1">
        <v>45384</v>
      </c>
      <c r="B255">
        <v>177.28</v>
      </c>
      <c r="C255">
        <v>303.39</v>
      </c>
      <c r="D255">
        <v>1</v>
      </c>
      <c r="E255" s="2" t="s">
        <v>8</v>
      </c>
      <c r="F255" s="2" t="s">
        <v>9</v>
      </c>
      <c r="G255" s="2" t="s">
        <v>14</v>
      </c>
      <c r="H255" s="2" t="s">
        <v>15</v>
      </c>
      <c r="I255" s="2">
        <f t="shared" si="6"/>
        <v>-126.10999999999999</v>
      </c>
      <c r="J255" s="2">
        <f t="shared" si="7"/>
        <v>-0.41566960018458088</v>
      </c>
    </row>
    <row r="256" spans="1:10" x14ac:dyDescent="0.3">
      <c r="A256" s="1">
        <v>45403</v>
      </c>
      <c r="B256">
        <v>656.77</v>
      </c>
      <c r="C256">
        <v>254.1</v>
      </c>
      <c r="D256">
        <v>2</v>
      </c>
      <c r="E256" s="2" t="s">
        <v>13</v>
      </c>
      <c r="F256" s="2" t="s">
        <v>17</v>
      </c>
      <c r="G256" s="2" t="s">
        <v>12</v>
      </c>
      <c r="H256" s="2" t="s">
        <v>20</v>
      </c>
      <c r="I256" s="2">
        <f t="shared" si="6"/>
        <v>402.66999999999996</v>
      </c>
      <c r="J256" s="2">
        <f t="shared" si="7"/>
        <v>1.5846910665092482</v>
      </c>
    </row>
    <row r="257" spans="1:10" x14ac:dyDescent="0.3">
      <c r="A257" s="1">
        <v>45373</v>
      </c>
      <c r="B257">
        <v>438.86</v>
      </c>
      <c r="C257">
        <v>190.63</v>
      </c>
      <c r="D257">
        <v>8</v>
      </c>
      <c r="E257" s="2" t="s">
        <v>8</v>
      </c>
      <c r="F257" s="2" t="s">
        <v>17</v>
      </c>
      <c r="G257" s="2" t="s">
        <v>14</v>
      </c>
      <c r="H257" s="2" t="s">
        <v>11</v>
      </c>
      <c r="I257" s="2">
        <f t="shared" si="6"/>
        <v>248.23000000000002</v>
      </c>
      <c r="J257" s="2">
        <f t="shared" si="7"/>
        <v>1.3021560090227142</v>
      </c>
    </row>
    <row r="258" spans="1:10" x14ac:dyDescent="0.3">
      <c r="A258" s="1">
        <v>45401</v>
      </c>
      <c r="B258">
        <v>1372.26</v>
      </c>
      <c r="C258">
        <v>206.3</v>
      </c>
      <c r="D258">
        <v>0</v>
      </c>
      <c r="E258" s="2" t="s">
        <v>16</v>
      </c>
      <c r="F258" s="2" t="s">
        <v>17</v>
      </c>
      <c r="G258" s="2" t="s">
        <v>12</v>
      </c>
      <c r="H258" s="2" t="s">
        <v>15</v>
      </c>
      <c r="I258" s="2">
        <f t="shared" ref="I258:I321" si="8">B258-C258</f>
        <v>1165.96</v>
      </c>
      <c r="J258" s="2">
        <f t="shared" ref="J258:J321" si="9">IF(C258=0,0,I258/C258)</f>
        <v>5.6517692680562286</v>
      </c>
    </row>
    <row r="259" spans="1:10" x14ac:dyDescent="0.3">
      <c r="A259" s="1">
        <v>45354</v>
      </c>
      <c r="B259">
        <v>887.49</v>
      </c>
      <c r="C259">
        <v>318.18</v>
      </c>
      <c r="D259">
        <v>3</v>
      </c>
      <c r="E259" s="2" t="s">
        <v>8</v>
      </c>
      <c r="F259" s="2" t="s">
        <v>17</v>
      </c>
      <c r="G259" s="2" t="s">
        <v>19</v>
      </c>
      <c r="H259" s="2" t="s">
        <v>18</v>
      </c>
      <c r="I259" s="2">
        <f t="shared" si="8"/>
        <v>569.30999999999995</v>
      </c>
      <c r="J259" s="2">
        <f t="shared" si="9"/>
        <v>1.7892702244012821</v>
      </c>
    </row>
    <row r="260" spans="1:10" x14ac:dyDescent="0.3">
      <c r="A260" s="1">
        <v>45402</v>
      </c>
      <c r="B260">
        <v>309.95</v>
      </c>
      <c r="C260">
        <v>95.48</v>
      </c>
      <c r="D260">
        <v>0</v>
      </c>
      <c r="E260" s="2" t="s">
        <v>13</v>
      </c>
      <c r="F260" s="2" t="s">
        <v>9</v>
      </c>
      <c r="G260" s="2" t="s">
        <v>14</v>
      </c>
      <c r="H260" s="2" t="s">
        <v>20</v>
      </c>
      <c r="I260" s="2">
        <f t="shared" si="8"/>
        <v>214.46999999999997</v>
      </c>
      <c r="J260" s="2">
        <f t="shared" si="9"/>
        <v>2.2462295768747378</v>
      </c>
    </row>
    <row r="261" spans="1:10" x14ac:dyDescent="0.3">
      <c r="A261" s="1">
        <v>45394</v>
      </c>
      <c r="B261">
        <v>416.14</v>
      </c>
      <c r="C261">
        <v>248.81</v>
      </c>
      <c r="D261">
        <v>1</v>
      </c>
      <c r="E261" s="2" t="s">
        <v>8</v>
      </c>
      <c r="F261" s="2" t="s">
        <v>17</v>
      </c>
      <c r="G261" s="2" t="s">
        <v>12</v>
      </c>
      <c r="H261" s="2" t="s">
        <v>11</v>
      </c>
      <c r="I261" s="2">
        <f t="shared" si="8"/>
        <v>167.32999999999998</v>
      </c>
      <c r="J261" s="2">
        <f t="shared" si="9"/>
        <v>0.67252120091636181</v>
      </c>
    </row>
    <row r="262" spans="1:10" x14ac:dyDescent="0.3">
      <c r="A262" s="1">
        <v>45389</v>
      </c>
      <c r="B262">
        <v>1102.1099999999999</v>
      </c>
      <c r="C262">
        <v>474.21</v>
      </c>
      <c r="D262">
        <v>1</v>
      </c>
      <c r="E262" s="2" t="s">
        <v>8</v>
      </c>
      <c r="F262" s="2" t="s">
        <v>17</v>
      </c>
      <c r="G262" s="2" t="s">
        <v>10</v>
      </c>
      <c r="H262" s="2" t="s">
        <v>11</v>
      </c>
      <c r="I262" s="2">
        <f t="shared" si="8"/>
        <v>627.89999999999986</v>
      </c>
      <c r="J262" s="2">
        <f t="shared" si="9"/>
        <v>1.3240969190864804</v>
      </c>
    </row>
    <row r="263" spans="1:10" x14ac:dyDescent="0.3">
      <c r="A263" s="1">
        <v>45316</v>
      </c>
      <c r="B263">
        <v>211.2</v>
      </c>
      <c r="C263">
        <v>300.57</v>
      </c>
      <c r="D263">
        <v>1</v>
      </c>
      <c r="E263" s="2" t="s">
        <v>8</v>
      </c>
      <c r="F263" s="2" t="s">
        <v>9</v>
      </c>
      <c r="G263" s="2" t="s">
        <v>12</v>
      </c>
      <c r="H263" s="2" t="s">
        <v>20</v>
      </c>
      <c r="I263" s="2">
        <f t="shared" si="8"/>
        <v>-89.37</v>
      </c>
      <c r="J263" s="2">
        <f t="shared" si="9"/>
        <v>-0.29733506337957882</v>
      </c>
    </row>
    <row r="264" spans="1:10" x14ac:dyDescent="0.3">
      <c r="A264" s="1">
        <v>45295</v>
      </c>
      <c r="B264">
        <v>986.89</v>
      </c>
      <c r="C264">
        <v>497</v>
      </c>
      <c r="D264">
        <v>6</v>
      </c>
      <c r="E264" s="2" t="s">
        <v>16</v>
      </c>
      <c r="F264" s="2" t="s">
        <v>17</v>
      </c>
      <c r="G264" s="2" t="s">
        <v>12</v>
      </c>
      <c r="H264" s="2" t="s">
        <v>18</v>
      </c>
      <c r="I264" s="2">
        <f t="shared" si="8"/>
        <v>489.89</v>
      </c>
      <c r="J264" s="2">
        <f t="shared" si="9"/>
        <v>0.98569416498993956</v>
      </c>
    </row>
    <row r="265" spans="1:10" x14ac:dyDescent="0.3">
      <c r="A265" s="1">
        <v>45341</v>
      </c>
      <c r="B265">
        <v>1166.83</v>
      </c>
      <c r="C265">
        <v>327.64</v>
      </c>
      <c r="D265">
        <v>2</v>
      </c>
      <c r="E265" s="2" t="s">
        <v>13</v>
      </c>
      <c r="F265" s="2" t="s">
        <v>17</v>
      </c>
      <c r="G265" s="2" t="s">
        <v>14</v>
      </c>
      <c r="H265" s="2" t="s">
        <v>11</v>
      </c>
      <c r="I265" s="2">
        <f t="shared" si="8"/>
        <v>839.18999999999994</v>
      </c>
      <c r="J265" s="2">
        <f t="shared" si="9"/>
        <v>2.5613172994750335</v>
      </c>
    </row>
    <row r="266" spans="1:10" x14ac:dyDescent="0.3">
      <c r="A266" s="1">
        <v>45379</v>
      </c>
      <c r="B266">
        <v>1139.8800000000001</v>
      </c>
      <c r="C266">
        <v>191.94</v>
      </c>
      <c r="D266">
        <v>0</v>
      </c>
      <c r="E266" s="2" t="s">
        <v>13</v>
      </c>
      <c r="F266" s="2" t="s">
        <v>17</v>
      </c>
      <c r="G266" s="2" t="s">
        <v>14</v>
      </c>
      <c r="H266" s="2" t="s">
        <v>20</v>
      </c>
      <c r="I266" s="2">
        <f t="shared" si="8"/>
        <v>947.94</v>
      </c>
      <c r="J266" s="2">
        <f t="shared" si="9"/>
        <v>4.9387308533916849</v>
      </c>
    </row>
    <row r="267" spans="1:10" x14ac:dyDescent="0.3">
      <c r="A267" s="1">
        <v>45333</v>
      </c>
      <c r="B267">
        <v>909.93</v>
      </c>
      <c r="C267">
        <v>156.08000000000001</v>
      </c>
      <c r="D267">
        <v>7</v>
      </c>
      <c r="E267" s="2" t="s">
        <v>13</v>
      </c>
      <c r="F267" s="2" t="s">
        <v>9</v>
      </c>
      <c r="G267" s="2" t="s">
        <v>19</v>
      </c>
      <c r="H267" s="2" t="s">
        <v>20</v>
      </c>
      <c r="I267" s="2">
        <f t="shared" si="8"/>
        <v>753.84999999999991</v>
      </c>
      <c r="J267" s="2">
        <f t="shared" si="9"/>
        <v>4.8298949256791381</v>
      </c>
    </row>
    <row r="268" spans="1:10" x14ac:dyDescent="0.3">
      <c r="A268" s="1">
        <v>45331</v>
      </c>
      <c r="B268">
        <v>1312.58</v>
      </c>
      <c r="C268">
        <v>235.89</v>
      </c>
      <c r="D268">
        <v>4</v>
      </c>
      <c r="E268" s="2" t="s">
        <v>13</v>
      </c>
      <c r="F268" s="2" t="s">
        <v>17</v>
      </c>
      <c r="G268" s="2" t="s">
        <v>14</v>
      </c>
      <c r="H268" s="2" t="s">
        <v>20</v>
      </c>
      <c r="I268" s="2">
        <f t="shared" si="8"/>
        <v>1076.69</v>
      </c>
      <c r="J268" s="2">
        <f t="shared" si="9"/>
        <v>4.5643732248081736</v>
      </c>
    </row>
    <row r="269" spans="1:10" x14ac:dyDescent="0.3">
      <c r="A269" s="1">
        <v>45360</v>
      </c>
      <c r="B269">
        <v>803.58</v>
      </c>
      <c r="C269">
        <v>22.28</v>
      </c>
      <c r="D269">
        <v>8</v>
      </c>
      <c r="E269" s="2" t="s">
        <v>16</v>
      </c>
      <c r="F269" s="2" t="s">
        <v>17</v>
      </c>
      <c r="G269" s="2" t="s">
        <v>19</v>
      </c>
      <c r="H269" s="2" t="s">
        <v>11</v>
      </c>
      <c r="I269" s="2">
        <f t="shared" si="8"/>
        <v>781.30000000000007</v>
      </c>
      <c r="J269" s="2">
        <f t="shared" si="9"/>
        <v>35.067324955116696</v>
      </c>
    </row>
    <row r="270" spans="1:10" x14ac:dyDescent="0.3">
      <c r="A270" s="1">
        <v>45384</v>
      </c>
      <c r="B270">
        <v>196.09</v>
      </c>
      <c r="C270">
        <v>378.91</v>
      </c>
      <c r="D270">
        <v>7</v>
      </c>
      <c r="E270" s="2" t="s">
        <v>16</v>
      </c>
      <c r="F270" s="2" t="s">
        <v>9</v>
      </c>
      <c r="G270" s="2" t="s">
        <v>12</v>
      </c>
      <c r="H270" s="2" t="s">
        <v>11</v>
      </c>
      <c r="I270" s="2">
        <f t="shared" si="8"/>
        <v>-182.82000000000002</v>
      </c>
      <c r="J270" s="2">
        <f t="shared" si="9"/>
        <v>-0.48248924546726141</v>
      </c>
    </row>
    <row r="271" spans="1:10" x14ac:dyDescent="0.3">
      <c r="A271" s="1">
        <v>45384</v>
      </c>
      <c r="B271">
        <v>145.76</v>
      </c>
      <c r="C271">
        <v>380.44</v>
      </c>
      <c r="D271">
        <v>0</v>
      </c>
      <c r="E271" s="2" t="s">
        <v>13</v>
      </c>
      <c r="F271" s="2" t="s">
        <v>17</v>
      </c>
      <c r="G271" s="2" t="s">
        <v>19</v>
      </c>
      <c r="H271" s="2" t="s">
        <v>18</v>
      </c>
      <c r="I271" s="2">
        <f t="shared" si="8"/>
        <v>-234.68</v>
      </c>
      <c r="J271" s="2">
        <f t="shared" si="9"/>
        <v>-0.61686468299863317</v>
      </c>
    </row>
    <row r="272" spans="1:10" x14ac:dyDescent="0.3">
      <c r="A272" s="1">
        <v>45357</v>
      </c>
      <c r="B272">
        <v>706.42</v>
      </c>
      <c r="C272">
        <v>263.52</v>
      </c>
      <c r="D272">
        <v>3</v>
      </c>
      <c r="E272" s="2" t="s">
        <v>8</v>
      </c>
      <c r="F272" s="2" t="s">
        <v>17</v>
      </c>
      <c r="G272" s="2" t="s">
        <v>12</v>
      </c>
      <c r="H272" s="2" t="s">
        <v>11</v>
      </c>
      <c r="I272" s="2">
        <f t="shared" si="8"/>
        <v>442.9</v>
      </c>
      <c r="J272" s="2">
        <f t="shared" si="9"/>
        <v>1.6807073466909532</v>
      </c>
    </row>
    <row r="273" spans="1:10" x14ac:dyDescent="0.3">
      <c r="A273" s="1">
        <v>45365</v>
      </c>
      <c r="B273">
        <v>735.77</v>
      </c>
      <c r="C273">
        <v>290.23</v>
      </c>
      <c r="D273">
        <v>9</v>
      </c>
      <c r="E273" s="2" t="s">
        <v>16</v>
      </c>
      <c r="F273" s="2" t="s">
        <v>9</v>
      </c>
      <c r="G273" s="2" t="s">
        <v>19</v>
      </c>
      <c r="H273" s="2" t="s">
        <v>18</v>
      </c>
      <c r="I273" s="2">
        <f t="shared" si="8"/>
        <v>445.53999999999996</v>
      </c>
      <c r="J273" s="2">
        <f t="shared" si="9"/>
        <v>1.535127312820866</v>
      </c>
    </row>
    <row r="274" spans="1:10" x14ac:dyDescent="0.3">
      <c r="A274" s="1">
        <v>45309</v>
      </c>
      <c r="B274">
        <v>1458.39</v>
      </c>
      <c r="C274">
        <v>187.13</v>
      </c>
      <c r="D274">
        <v>1</v>
      </c>
      <c r="E274" s="2" t="s">
        <v>8</v>
      </c>
      <c r="F274" s="2" t="s">
        <v>17</v>
      </c>
      <c r="G274" s="2" t="s">
        <v>10</v>
      </c>
      <c r="H274" s="2" t="s">
        <v>18</v>
      </c>
      <c r="I274" s="2">
        <f t="shared" si="8"/>
        <v>1271.2600000000002</v>
      </c>
      <c r="J274" s="2">
        <f t="shared" si="9"/>
        <v>6.7934590926094174</v>
      </c>
    </row>
    <row r="275" spans="1:10" x14ac:dyDescent="0.3">
      <c r="A275" s="1">
        <v>45326</v>
      </c>
      <c r="B275">
        <v>845.19</v>
      </c>
      <c r="C275">
        <v>262.47000000000003</v>
      </c>
      <c r="D275">
        <v>9</v>
      </c>
      <c r="E275" s="2" t="s">
        <v>16</v>
      </c>
      <c r="F275" s="2" t="s">
        <v>9</v>
      </c>
      <c r="G275" s="2" t="s">
        <v>12</v>
      </c>
      <c r="H275" s="2" t="s">
        <v>20</v>
      </c>
      <c r="I275" s="2">
        <f t="shared" si="8"/>
        <v>582.72</v>
      </c>
      <c r="J275" s="2">
        <f t="shared" si="9"/>
        <v>2.2201394445079434</v>
      </c>
    </row>
    <row r="276" spans="1:10" x14ac:dyDescent="0.3">
      <c r="A276" s="1">
        <v>45389</v>
      </c>
      <c r="B276">
        <v>1491.85</v>
      </c>
      <c r="C276">
        <v>268.07</v>
      </c>
      <c r="D276">
        <v>8</v>
      </c>
      <c r="E276" s="2" t="s">
        <v>8</v>
      </c>
      <c r="F276" s="2" t="s">
        <v>9</v>
      </c>
      <c r="G276" s="2" t="s">
        <v>10</v>
      </c>
      <c r="H276" s="2" t="s">
        <v>11</v>
      </c>
      <c r="I276" s="2">
        <f t="shared" si="8"/>
        <v>1223.78</v>
      </c>
      <c r="J276" s="2">
        <f t="shared" si="9"/>
        <v>4.5651508934233593</v>
      </c>
    </row>
    <row r="277" spans="1:10" x14ac:dyDescent="0.3">
      <c r="A277" s="1">
        <v>45348</v>
      </c>
      <c r="B277">
        <v>278.04000000000002</v>
      </c>
      <c r="C277">
        <v>297.27</v>
      </c>
      <c r="D277">
        <v>2</v>
      </c>
      <c r="E277" s="2" t="s">
        <v>16</v>
      </c>
      <c r="F277" s="2" t="s">
        <v>9</v>
      </c>
      <c r="G277" s="2" t="s">
        <v>14</v>
      </c>
      <c r="H277" s="2" t="s">
        <v>11</v>
      </c>
      <c r="I277" s="2">
        <f t="shared" si="8"/>
        <v>-19.229999999999961</v>
      </c>
      <c r="J277" s="2">
        <f t="shared" si="9"/>
        <v>-6.4688666868503261E-2</v>
      </c>
    </row>
    <row r="278" spans="1:10" x14ac:dyDescent="0.3">
      <c r="A278" s="1">
        <v>45378</v>
      </c>
      <c r="B278">
        <v>881.56</v>
      </c>
      <c r="C278">
        <v>134.49</v>
      </c>
      <c r="D278">
        <v>8</v>
      </c>
      <c r="E278" s="2" t="s">
        <v>13</v>
      </c>
      <c r="F278" s="2" t="s">
        <v>9</v>
      </c>
      <c r="G278" s="2" t="s">
        <v>19</v>
      </c>
      <c r="H278" s="2" t="s">
        <v>15</v>
      </c>
      <c r="I278" s="2">
        <f t="shared" si="8"/>
        <v>747.06999999999994</v>
      </c>
      <c r="J278" s="2">
        <f t="shared" si="9"/>
        <v>5.5548367908394667</v>
      </c>
    </row>
    <row r="279" spans="1:10" x14ac:dyDescent="0.3">
      <c r="A279" s="1">
        <v>45379</v>
      </c>
      <c r="B279">
        <v>110.61</v>
      </c>
      <c r="C279">
        <v>440.23</v>
      </c>
      <c r="D279">
        <v>3</v>
      </c>
      <c r="E279" s="2" t="s">
        <v>8</v>
      </c>
      <c r="F279" s="2" t="s">
        <v>17</v>
      </c>
      <c r="G279" s="2" t="s">
        <v>10</v>
      </c>
      <c r="H279" s="2" t="s">
        <v>20</v>
      </c>
      <c r="I279" s="2">
        <f t="shared" si="8"/>
        <v>-329.62</v>
      </c>
      <c r="J279" s="2">
        <f t="shared" si="9"/>
        <v>-0.74874497421802233</v>
      </c>
    </row>
    <row r="280" spans="1:10" x14ac:dyDescent="0.3">
      <c r="A280" s="1">
        <v>45312</v>
      </c>
      <c r="B280">
        <v>987.93</v>
      </c>
      <c r="C280">
        <v>90.82</v>
      </c>
      <c r="D280">
        <v>4</v>
      </c>
      <c r="E280" s="2" t="s">
        <v>13</v>
      </c>
      <c r="F280" s="2" t="s">
        <v>17</v>
      </c>
      <c r="G280" s="2" t="s">
        <v>14</v>
      </c>
      <c r="H280" s="2" t="s">
        <v>18</v>
      </c>
      <c r="I280" s="2">
        <f t="shared" si="8"/>
        <v>897.1099999999999</v>
      </c>
      <c r="J280" s="2">
        <f t="shared" si="9"/>
        <v>9.8778903325258742</v>
      </c>
    </row>
    <row r="281" spans="1:10" x14ac:dyDescent="0.3">
      <c r="A281" s="1">
        <v>45347</v>
      </c>
      <c r="B281">
        <v>898.31</v>
      </c>
      <c r="C281">
        <v>458.23</v>
      </c>
      <c r="D281">
        <v>4</v>
      </c>
      <c r="E281" s="2" t="s">
        <v>8</v>
      </c>
      <c r="F281" s="2" t="s">
        <v>9</v>
      </c>
      <c r="G281" s="2" t="s">
        <v>19</v>
      </c>
      <c r="H281" s="2" t="s">
        <v>18</v>
      </c>
      <c r="I281" s="2">
        <f t="shared" si="8"/>
        <v>440.07999999999993</v>
      </c>
      <c r="J281" s="2">
        <f t="shared" si="9"/>
        <v>0.96039106998668766</v>
      </c>
    </row>
    <row r="282" spans="1:10" x14ac:dyDescent="0.3">
      <c r="A282" s="1">
        <v>45305</v>
      </c>
      <c r="B282">
        <v>251.42</v>
      </c>
      <c r="C282">
        <v>222.85</v>
      </c>
      <c r="D282">
        <v>3</v>
      </c>
      <c r="E282" s="2" t="s">
        <v>13</v>
      </c>
      <c r="F282" s="2" t="s">
        <v>9</v>
      </c>
      <c r="G282" s="2" t="s">
        <v>10</v>
      </c>
      <c r="H282" s="2" t="s">
        <v>18</v>
      </c>
      <c r="I282" s="2">
        <f t="shared" si="8"/>
        <v>28.569999999999993</v>
      </c>
      <c r="J282" s="2">
        <f t="shared" si="9"/>
        <v>0.12820282701368632</v>
      </c>
    </row>
    <row r="283" spans="1:10" x14ac:dyDescent="0.3">
      <c r="A283" s="1">
        <v>45334</v>
      </c>
      <c r="B283">
        <v>1091.47</v>
      </c>
      <c r="C283">
        <v>217.41</v>
      </c>
      <c r="D283">
        <v>10</v>
      </c>
      <c r="E283" s="2" t="s">
        <v>8</v>
      </c>
      <c r="F283" s="2" t="s">
        <v>17</v>
      </c>
      <c r="G283" s="2" t="s">
        <v>10</v>
      </c>
      <c r="H283" s="2" t="s">
        <v>11</v>
      </c>
      <c r="I283" s="2">
        <f t="shared" si="8"/>
        <v>874.06000000000006</v>
      </c>
      <c r="J283" s="2">
        <f t="shared" si="9"/>
        <v>4.020330251598363</v>
      </c>
    </row>
    <row r="284" spans="1:10" x14ac:dyDescent="0.3">
      <c r="A284" s="1">
        <v>45382</v>
      </c>
      <c r="B284">
        <v>54.06</v>
      </c>
      <c r="C284">
        <v>84.32</v>
      </c>
      <c r="D284">
        <v>1</v>
      </c>
      <c r="E284" s="2" t="s">
        <v>16</v>
      </c>
      <c r="F284" s="2" t="s">
        <v>17</v>
      </c>
      <c r="G284" s="2" t="s">
        <v>19</v>
      </c>
      <c r="H284" s="2" t="s">
        <v>11</v>
      </c>
      <c r="I284" s="2">
        <f t="shared" si="8"/>
        <v>-30.259999999999991</v>
      </c>
      <c r="J284" s="2">
        <f t="shared" si="9"/>
        <v>-0.35887096774193539</v>
      </c>
    </row>
    <row r="285" spans="1:10" x14ac:dyDescent="0.3">
      <c r="A285" s="1">
        <v>45400</v>
      </c>
      <c r="B285">
        <v>678.89</v>
      </c>
      <c r="C285">
        <v>93.11</v>
      </c>
      <c r="D285">
        <v>10</v>
      </c>
      <c r="E285" s="2" t="s">
        <v>16</v>
      </c>
      <c r="F285" s="2" t="s">
        <v>9</v>
      </c>
      <c r="G285" s="2" t="s">
        <v>10</v>
      </c>
      <c r="H285" s="2" t="s">
        <v>18</v>
      </c>
      <c r="I285" s="2">
        <f t="shared" si="8"/>
        <v>585.78</v>
      </c>
      <c r="J285" s="2">
        <f t="shared" si="9"/>
        <v>6.2912683922242509</v>
      </c>
    </row>
    <row r="286" spans="1:10" x14ac:dyDescent="0.3">
      <c r="A286" s="1">
        <v>45412</v>
      </c>
      <c r="B286">
        <v>1015.8</v>
      </c>
      <c r="C286">
        <v>295.95999999999998</v>
      </c>
      <c r="D286">
        <v>6</v>
      </c>
      <c r="E286" s="2" t="s">
        <v>13</v>
      </c>
      <c r="F286" s="2" t="s">
        <v>9</v>
      </c>
      <c r="G286" s="2" t="s">
        <v>14</v>
      </c>
      <c r="H286" s="2" t="s">
        <v>20</v>
      </c>
      <c r="I286" s="2">
        <f t="shared" si="8"/>
        <v>719.83999999999992</v>
      </c>
      <c r="J286" s="2">
        <f t="shared" si="9"/>
        <v>2.4322205703473441</v>
      </c>
    </row>
    <row r="287" spans="1:10" x14ac:dyDescent="0.3">
      <c r="A287" s="1">
        <v>45332</v>
      </c>
      <c r="B287">
        <v>546.91</v>
      </c>
      <c r="C287">
        <v>291.69</v>
      </c>
      <c r="D287">
        <v>6</v>
      </c>
      <c r="E287" s="2" t="s">
        <v>16</v>
      </c>
      <c r="F287" s="2" t="s">
        <v>9</v>
      </c>
      <c r="G287" s="2" t="s">
        <v>19</v>
      </c>
      <c r="H287" s="2" t="s">
        <v>15</v>
      </c>
      <c r="I287" s="2">
        <f t="shared" si="8"/>
        <v>255.21999999999997</v>
      </c>
      <c r="J287" s="2">
        <f t="shared" si="9"/>
        <v>0.87497000239980793</v>
      </c>
    </row>
    <row r="288" spans="1:10" x14ac:dyDescent="0.3">
      <c r="A288" s="1">
        <v>45380</v>
      </c>
      <c r="B288">
        <v>897.18</v>
      </c>
      <c r="C288">
        <v>56.36</v>
      </c>
      <c r="D288">
        <v>10</v>
      </c>
      <c r="E288" s="2" t="s">
        <v>16</v>
      </c>
      <c r="F288" s="2" t="s">
        <v>9</v>
      </c>
      <c r="G288" s="2" t="s">
        <v>19</v>
      </c>
      <c r="H288" s="2" t="s">
        <v>15</v>
      </c>
      <c r="I288" s="2">
        <f t="shared" si="8"/>
        <v>840.81999999999994</v>
      </c>
      <c r="J288" s="2">
        <f t="shared" si="9"/>
        <v>14.918736692689849</v>
      </c>
    </row>
    <row r="289" spans="1:10" x14ac:dyDescent="0.3">
      <c r="A289" s="1">
        <v>45412</v>
      </c>
      <c r="B289">
        <v>121.75</v>
      </c>
      <c r="C289">
        <v>435.45</v>
      </c>
      <c r="D289">
        <v>4</v>
      </c>
      <c r="E289" s="2" t="s">
        <v>8</v>
      </c>
      <c r="F289" s="2" t="s">
        <v>17</v>
      </c>
      <c r="G289" s="2" t="s">
        <v>14</v>
      </c>
      <c r="H289" s="2" t="s">
        <v>11</v>
      </c>
      <c r="I289" s="2">
        <f t="shared" si="8"/>
        <v>-313.7</v>
      </c>
      <c r="J289" s="2">
        <f t="shared" si="9"/>
        <v>-0.720404179584338</v>
      </c>
    </row>
    <row r="290" spans="1:10" x14ac:dyDescent="0.3">
      <c r="A290" s="1">
        <v>45335</v>
      </c>
      <c r="B290">
        <v>1064.31</v>
      </c>
      <c r="C290">
        <v>467.52</v>
      </c>
      <c r="D290">
        <v>3</v>
      </c>
      <c r="E290" s="2" t="s">
        <v>13</v>
      </c>
      <c r="F290" s="2" t="s">
        <v>17</v>
      </c>
      <c r="G290" s="2" t="s">
        <v>14</v>
      </c>
      <c r="H290" s="2" t="s">
        <v>18</v>
      </c>
      <c r="I290" s="2">
        <f t="shared" si="8"/>
        <v>596.79</v>
      </c>
      <c r="J290" s="2">
        <f t="shared" si="9"/>
        <v>1.2765015400410678</v>
      </c>
    </row>
    <row r="291" spans="1:10" x14ac:dyDescent="0.3">
      <c r="A291" s="1">
        <v>45324</v>
      </c>
      <c r="B291">
        <v>1235.47</v>
      </c>
      <c r="C291">
        <v>195.7</v>
      </c>
      <c r="D291">
        <v>2</v>
      </c>
      <c r="E291" s="2" t="s">
        <v>13</v>
      </c>
      <c r="F291" s="2" t="s">
        <v>17</v>
      </c>
      <c r="G291" s="2" t="s">
        <v>12</v>
      </c>
      <c r="H291" s="2" t="s">
        <v>15</v>
      </c>
      <c r="I291" s="2">
        <f t="shared" si="8"/>
        <v>1039.77</v>
      </c>
      <c r="J291" s="2">
        <f t="shared" si="9"/>
        <v>5.3130812468063366</v>
      </c>
    </row>
    <row r="292" spans="1:10" x14ac:dyDescent="0.3">
      <c r="A292" s="1">
        <v>45326</v>
      </c>
      <c r="B292">
        <v>605.5</v>
      </c>
      <c r="C292">
        <v>95.49</v>
      </c>
      <c r="D292">
        <v>10</v>
      </c>
      <c r="E292" s="2" t="s">
        <v>13</v>
      </c>
      <c r="F292" s="2" t="s">
        <v>17</v>
      </c>
      <c r="G292" s="2" t="s">
        <v>14</v>
      </c>
      <c r="H292" s="2" t="s">
        <v>18</v>
      </c>
      <c r="I292" s="2">
        <f t="shared" si="8"/>
        <v>510.01</v>
      </c>
      <c r="J292" s="2">
        <f t="shared" si="9"/>
        <v>5.3409781128914027</v>
      </c>
    </row>
    <row r="293" spans="1:10" x14ac:dyDescent="0.3">
      <c r="A293" s="1">
        <v>45325</v>
      </c>
      <c r="B293">
        <v>1094.0899999999999</v>
      </c>
      <c r="C293">
        <v>78.31</v>
      </c>
      <c r="D293">
        <v>7</v>
      </c>
      <c r="E293" s="2" t="s">
        <v>16</v>
      </c>
      <c r="F293" s="2" t="s">
        <v>9</v>
      </c>
      <c r="G293" s="2" t="s">
        <v>14</v>
      </c>
      <c r="H293" s="2" t="s">
        <v>11</v>
      </c>
      <c r="I293" s="2">
        <f t="shared" si="8"/>
        <v>1015.78</v>
      </c>
      <c r="J293" s="2">
        <f t="shared" si="9"/>
        <v>12.971268037287702</v>
      </c>
    </row>
    <row r="294" spans="1:10" x14ac:dyDescent="0.3">
      <c r="A294" s="1">
        <v>45350</v>
      </c>
      <c r="B294">
        <v>1182.25</v>
      </c>
      <c r="C294">
        <v>94.14</v>
      </c>
      <c r="D294">
        <v>9</v>
      </c>
      <c r="E294" s="2" t="s">
        <v>16</v>
      </c>
      <c r="F294" s="2" t="s">
        <v>9</v>
      </c>
      <c r="G294" s="2" t="s">
        <v>14</v>
      </c>
      <c r="H294" s="2" t="s">
        <v>15</v>
      </c>
      <c r="I294" s="2">
        <f t="shared" si="8"/>
        <v>1088.1099999999999</v>
      </c>
      <c r="J294" s="2">
        <f t="shared" si="9"/>
        <v>11.558423624389206</v>
      </c>
    </row>
    <row r="295" spans="1:10" x14ac:dyDescent="0.3">
      <c r="A295" s="1">
        <v>45338</v>
      </c>
      <c r="B295">
        <v>971.24</v>
      </c>
      <c r="C295">
        <v>217.24</v>
      </c>
      <c r="D295">
        <v>4</v>
      </c>
      <c r="E295" s="2" t="s">
        <v>16</v>
      </c>
      <c r="F295" s="2" t="s">
        <v>17</v>
      </c>
      <c r="G295" s="2" t="s">
        <v>14</v>
      </c>
      <c r="H295" s="2" t="s">
        <v>15</v>
      </c>
      <c r="I295" s="2">
        <f t="shared" si="8"/>
        <v>754</v>
      </c>
      <c r="J295" s="2">
        <f t="shared" si="9"/>
        <v>3.4708156877186522</v>
      </c>
    </row>
    <row r="296" spans="1:10" x14ac:dyDescent="0.3">
      <c r="A296" s="1">
        <v>45398</v>
      </c>
      <c r="B296">
        <v>720.71</v>
      </c>
      <c r="C296">
        <v>125.29</v>
      </c>
      <c r="D296">
        <v>10</v>
      </c>
      <c r="E296" s="2" t="s">
        <v>13</v>
      </c>
      <c r="F296" s="2" t="s">
        <v>9</v>
      </c>
      <c r="G296" s="2" t="s">
        <v>10</v>
      </c>
      <c r="H296" s="2" t="s">
        <v>20</v>
      </c>
      <c r="I296" s="2">
        <f t="shared" si="8"/>
        <v>595.42000000000007</v>
      </c>
      <c r="J296" s="2">
        <f t="shared" si="9"/>
        <v>4.7523345837656636</v>
      </c>
    </row>
    <row r="297" spans="1:10" x14ac:dyDescent="0.3">
      <c r="A297" s="1">
        <v>45338</v>
      </c>
      <c r="B297">
        <v>187.37</v>
      </c>
      <c r="C297">
        <v>198.88</v>
      </c>
      <c r="D297">
        <v>8</v>
      </c>
      <c r="E297" s="2" t="s">
        <v>16</v>
      </c>
      <c r="F297" s="2" t="s">
        <v>17</v>
      </c>
      <c r="G297" s="2" t="s">
        <v>14</v>
      </c>
      <c r="H297" s="2" t="s">
        <v>15</v>
      </c>
      <c r="I297" s="2">
        <f t="shared" si="8"/>
        <v>-11.509999999999991</v>
      </c>
      <c r="J297" s="2">
        <f t="shared" si="9"/>
        <v>-5.7874094931617014E-2</v>
      </c>
    </row>
    <row r="298" spans="1:10" x14ac:dyDescent="0.3">
      <c r="A298" s="1">
        <v>45352</v>
      </c>
      <c r="B298">
        <v>822.02</v>
      </c>
      <c r="C298">
        <v>279.8</v>
      </c>
      <c r="D298">
        <v>6</v>
      </c>
      <c r="E298" s="2" t="s">
        <v>8</v>
      </c>
      <c r="F298" s="2" t="s">
        <v>9</v>
      </c>
      <c r="G298" s="2" t="s">
        <v>12</v>
      </c>
      <c r="H298" s="2" t="s">
        <v>20</v>
      </c>
      <c r="I298" s="2">
        <f t="shared" si="8"/>
        <v>542.22</v>
      </c>
      <c r="J298" s="2">
        <f t="shared" si="9"/>
        <v>1.9378842030021444</v>
      </c>
    </row>
    <row r="299" spans="1:10" x14ac:dyDescent="0.3">
      <c r="A299" s="1">
        <v>45357</v>
      </c>
      <c r="B299">
        <v>1360.81</v>
      </c>
      <c r="C299">
        <v>422.19</v>
      </c>
      <c r="D299">
        <v>7</v>
      </c>
      <c r="E299" s="2" t="s">
        <v>16</v>
      </c>
      <c r="F299" s="2" t="s">
        <v>9</v>
      </c>
      <c r="G299" s="2" t="s">
        <v>19</v>
      </c>
      <c r="H299" s="2" t="s">
        <v>15</v>
      </c>
      <c r="I299" s="2">
        <f t="shared" si="8"/>
        <v>938.61999999999989</v>
      </c>
      <c r="J299" s="2">
        <f t="shared" si="9"/>
        <v>2.2232170349842484</v>
      </c>
    </row>
    <row r="300" spans="1:10" x14ac:dyDescent="0.3">
      <c r="A300" s="1">
        <v>45396</v>
      </c>
      <c r="B300">
        <v>406.07</v>
      </c>
      <c r="C300">
        <v>186.46</v>
      </c>
      <c r="D300">
        <v>10</v>
      </c>
      <c r="E300" s="2" t="s">
        <v>8</v>
      </c>
      <c r="F300" s="2" t="s">
        <v>9</v>
      </c>
      <c r="G300" s="2" t="s">
        <v>19</v>
      </c>
      <c r="H300" s="2" t="s">
        <v>15</v>
      </c>
      <c r="I300" s="2">
        <f t="shared" si="8"/>
        <v>219.60999999999999</v>
      </c>
      <c r="J300" s="2">
        <f t="shared" si="9"/>
        <v>1.1777861203475275</v>
      </c>
    </row>
    <row r="301" spans="1:10" x14ac:dyDescent="0.3">
      <c r="A301" s="1">
        <v>45324</v>
      </c>
      <c r="B301">
        <v>1148.77</v>
      </c>
      <c r="C301">
        <v>217.71</v>
      </c>
      <c r="D301">
        <v>2</v>
      </c>
      <c r="E301" s="2" t="s">
        <v>16</v>
      </c>
      <c r="F301" s="2" t="s">
        <v>17</v>
      </c>
      <c r="G301" s="2" t="s">
        <v>12</v>
      </c>
      <c r="H301" s="2" t="s">
        <v>11</v>
      </c>
      <c r="I301" s="2">
        <f t="shared" si="8"/>
        <v>931.06</v>
      </c>
      <c r="J301" s="2">
        <f t="shared" si="9"/>
        <v>4.2766064948785081</v>
      </c>
    </row>
    <row r="302" spans="1:10" x14ac:dyDescent="0.3">
      <c r="A302" s="1">
        <v>45313</v>
      </c>
      <c r="B302">
        <v>1375.25</v>
      </c>
      <c r="C302">
        <v>387.2</v>
      </c>
      <c r="D302">
        <v>0</v>
      </c>
      <c r="E302" s="2" t="s">
        <v>13</v>
      </c>
      <c r="F302" s="2" t="s">
        <v>9</v>
      </c>
      <c r="G302" s="2" t="s">
        <v>14</v>
      </c>
      <c r="H302" s="2" t="s">
        <v>15</v>
      </c>
      <c r="I302" s="2">
        <f t="shared" si="8"/>
        <v>988.05</v>
      </c>
      <c r="J302" s="2">
        <f t="shared" si="9"/>
        <v>2.5517820247933884</v>
      </c>
    </row>
    <row r="303" spans="1:10" x14ac:dyDescent="0.3">
      <c r="A303" s="1">
        <v>45317</v>
      </c>
      <c r="B303">
        <v>98.27</v>
      </c>
      <c r="C303">
        <v>425.59</v>
      </c>
      <c r="D303">
        <v>0</v>
      </c>
      <c r="E303" s="2" t="s">
        <v>13</v>
      </c>
      <c r="F303" s="2" t="s">
        <v>17</v>
      </c>
      <c r="G303" s="2" t="s">
        <v>12</v>
      </c>
      <c r="H303" s="2" t="s">
        <v>15</v>
      </c>
      <c r="I303" s="2">
        <f t="shared" si="8"/>
        <v>-327.32</v>
      </c>
      <c r="J303" s="2">
        <f t="shared" si="9"/>
        <v>-0.76909701825700794</v>
      </c>
    </row>
    <row r="304" spans="1:10" x14ac:dyDescent="0.3">
      <c r="A304" s="1">
        <v>45317</v>
      </c>
      <c r="B304">
        <v>768.82</v>
      </c>
      <c r="C304">
        <v>104.84</v>
      </c>
      <c r="D304">
        <v>6</v>
      </c>
      <c r="E304" s="2" t="s">
        <v>16</v>
      </c>
      <c r="F304" s="2" t="s">
        <v>17</v>
      </c>
      <c r="G304" s="2" t="s">
        <v>19</v>
      </c>
      <c r="H304" s="2" t="s">
        <v>15</v>
      </c>
      <c r="I304" s="2">
        <f t="shared" si="8"/>
        <v>663.98</v>
      </c>
      <c r="J304" s="2">
        <f t="shared" si="9"/>
        <v>6.3332697443723767</v>
      </c>
    </row>
    <row r="305" spans="1:10" x14ac:dyDescent="0.3">
      <c r="A305" s="1">
        <v>45382</v>
      </c>
      <c r="B305">
        <v>1239.23</v>
      </c>
      <c r="C305">
        <v>208.12</v>
      </c>
      <c r="D305">
        <v>4</v>
      </c>
      <c r="E305" s="2" t="s">
        <v>8</v>
      </c>
      <c r="F305" s="2" t="s">
        <v>9</v>
      </c>
      <c r="G305" s="2" t="s">
        <v>10</v>
      </c>
      <c r="H305" s="2" t="s">
        <v>15</v>
      </c>
      <c r="I305" s="2">
        <f t="shared" si="8"/>
        <v>1031.1100000000001</v>
      </c>
      <c r="J305" s="2">
        <f t="shared" si="9"/>
        <v>4.9544013069383057</v>
      </c>
    </row>
    <row r="306" spans="1:10" x14ac:dyDescent="0.3">
      <c r="A306" s="1">
        <v>45380</v>
      </c>
      <c r="B306">
        <v>666.6</v>
      </c>
      <c r="C306">
        <v>344.82</v>
      </c>
      <c r="D306">
        <v>10</v>
      </c>
      <c r="E306" s="2" t="s">
        <v>8</v>
      </c>
      <c r="F306" s="2" t="s">
        <v>9</v>
      </c>
      <c r="G306" s="2" t="s">
        <v>12</v>
      </c>
      <c r="H306" s="2" t="s">
        <v>15</v>
      </c>
      <c r="I306" s="2">
        <f t="shared" si="8"/>
        <v>321.78000000000003</v>
      </c>
      <c r="J306" s="2">
        <f t="shared" si="9"/>
        <v>0.93318253001566043</v>
      </c>
    </row>
    <row r="307" spans="1:10" x14ac:dyDescent="0.3">
      <c r="A307" s="1">
        <v>45402</v>
      </c>
      <c r="B307">
        <v>763.32</v>
      </c>
      <c r="C307">
        <v>156.19</v>
      </c>
      <c r="D307">
        <v>7</v>
      </c>
      <c r="E307" s="2" t="s">
        <v>13</v>
      </c>
      <c r="F307" s="2" t="s">
        <v>9</v>
      </c>
      <c r="G307" s="2" t="s">
        <v>12</v>
      </c>
      <c r="H307" s="2" t="s">
        <v>11</v>
      </c>
      <c r="I307" s="2">
        <f t="shared" si="8"/>
        <v>607.13000000000011</v>
      </c>
      <c r="J307" s="2">
        <f t="shared" si="9"/>
        <v>3.8871246558678538</v>
      </c>
    </row>
    <row r="308" spans="1:10" x14ac:dyDescent="0.3">
      <c r="A308" s="1">
        <v>45346</v>
      </c>
      <c r="B308">
        <v>503.79</v>
      </c>
      <c r="C308">
        <v>43.2</v>
      </c>
      <c r="D308">
        <v>4</v>
      </c>
      <c r="E308" s="2" t="s">
        <v>16</v>
      </c>
      <c r="F308" s="2" t="s">
        <v>17</v>
      </c>
      <c r="G308" s="2" t="s">
        <v>12</v>
      </c>
      <c r="H308" s="2" t="s">
        <v>18</v>
      </c>
      <c r="I308" s="2">
        <f t="shared" si="8"/>
        <v>460.59000000000003</v>
      </c>
      <c r="J308" s="2">
        <f t="shared" si="9"/>
        <v>10.661805555555556</v>
      </c>
    </row>
    <row r="309" spans="1:10" x14ac:dyDescent="0.3">
      <c r="A309" s="1">
        <v>45409</v>
      </c>
      <c r="B309">
        <v>116.74</v>
      </c>
      <c r="C309">
        <v>111.96</v>
      </c>
      <c r="D309">
        <v>7</v>
      </c>
      <c r="E309" s="2" t="s">
        <v>16</v>
      </c>
      <c r="F309" s="2" t="s">
        <v>9</v>
      </c>
      <c r="G309" s="2" t="s">
        <v>19</v>
      </c>
      <c r="H309" s="2" t="s">
        <v>20</v>
      </c>
      <c r="I309" s="2">
        <f t="shared" si="8"/>
        <v>4.7800000000000011</v>
      </c>
      <c r="J309" s="2">
        <f t="shared" si="9"/>
        <v>4.2693819221150425E-2</v>
      </c>
    </row>
    <row r="310" spans="1:10" x14ac:dyDescent="0.3">
      <c r="A310" s="1">
        <v>45377</v>
      </c>
      <c r="B310">
        <v>1027.4000000000001</v>
      </c>
      <c r="C310">
        <v>83.43</v>
      </c>
      <c r="D310">
        <v>8</v>
      </c>
      <c r="E310" s="2" t="s">
        <v>13</v>
      </c>
      <c r="F310" s="2" t="s">
        <v>17</v>
      </c>
      <c r="G310" s="2" t="s">
        <v>19</v>
      </c>
      <c r="H310" s="2" t="s">
        <v>11</v>
      </c>
      <c r="I310" s="2">
        <f t="shared" si="8"/>
        <v>943.97</v>
      </c>
      <c r="J310" s="2">
        <f t="shared" si="9"/>
        <v>11.314515162411602</v>
      </c>
    </row>
    <row r="311" spans="1:10" x14ac:dyDescent="0.3">
      <c r="A311" s="1">
        <v>45366</v>
      </c>
      <c r="B311">
        <v>1315.06</v>
      </c>
      <c r="C311">
        <v>227.82</v>
      </c>
      <c r="D311">
        <v>8</v>
      </c>
      <c r="E311" s="2" t="s">
        <v>16</v>
      </c>
      <c r="F311" s="2" t="s">
        <v>17</v>
      </c>
      <c r="G311" s="2" t="s">
        <v>14</v>
      </c>
      <c r="H311" s="2" t="s">
        <v>20</v>
      </c>
      <c r="I311" s="2">
        <f t="shared" si="8"/>
        <v>1087.24</v>
      </c>
      <c r="J311" s="2">
        <f t="shared" si="9"/>
        <v>4.7723641471337022</v>
      </c>
    </row>
    <row r="312" spans="1:10" x14ac:dyDescent="0.3">
      <c r="A312" s="1">
        <v>45389</v>
      </c>
      <c r="B312">
        <v>714.95</v>
      </c>
      <c r="C312">
        <v>344.04</v>
      </c>
      <c r="D312">
        <v>5</v>
      </c>
      <c r="E312" s="2" t="s">
        <v>16</v>
      </c>
      <c r="F312" s="2" t="s">
        <v>17</v>
      </c>
      <c r="G312" s="2" t="s">
        <v>12</v>
      </c>
      <c r="H312" s="2" t="s">
        <v>20</v>
      </c>
      <c r="I312" s="2">
        <f t="shared" si="8"/>
        <v>370.91</v>
      </c>
      <c r="J312" s="2">
        <f t="shared" si="9"/>
        <v>1.0781013835600513</v>
      </c>
    </row>
    <row r="313" spans="1:10" x14ac:dyDescent="0.3">
      <c r="A313" s="1">
        <v>45404</v>
      </c>
      <c r="B313">
        <v>1319.26</v>
      </c>
      <c r="C313">
        <v>287.04000000000002</v>
      </c>
      <c r="D313">
        <v>5</v>
      </c>
      <c r="E313" s="2" t="s">
        <v>13</v>
      </c>
      <c r="F313" s="2" t="s">
        <v>9</v>
      </c>
      <c r="G313" s="2" t="s">
        <v>10</v>
      </c>
      <c r="H313" s="2" t="s">
        <v>15</v>
      </c>
      <c r="I313" s="2">
        <f t="shared" si="8"/>
        <v>1032.22</v>
      </c>
      <c r="J313" s="2">
        <f t="shared" si="9"/>
        <v>3.5960841694537344</v>
      </c>
    </row>
    <row r="314" spans="1:10" x14ac:dyDescent="0.3">
      <c r="A314" s="1">
        <v>45305</v>
      </c>
      <c r="B314">
        <v>1305.3699999999999</v>
      </c>
      <c r="C314">
        <v>126.5</v>
      </c>
      <c r="D314">
        <v>0</v>
      </c>
      <c r="E314" s="2" t="s">
        <v>13</v>
      </c>
      <c r="F314" s="2" t="s">
        <v>17</v>
      </c>
      <c r="G314" s="2" t="s">
        <v>14</v>
      </c>
      <c r="H314" s="2" t="s">
        <v>20</v>
      </c>
      <c r="I314" s="2">
        <f t="shared" si="8"/>
        <v>1178.8699999999999</v>
      </c>
      <c r="J314" s="2">
        <f t="shared" si="9"/>
        <v>9.3191304347826076</v>
      </c>
    </row>
    <row r="315" spans="1:10" x14ac:dyDescent="0.3">
      <c r="A315" s="1">
        <v>45404</v>
      </c>
      <c r="B315">
        <v>814.33</v>
      </c>
      <c r="C315">
        <v>79.81</v>
      </c>
      <c r="D315">
        <v>5</v>
      </c>
      <c r="E315" s="2" t="s">
        <v>16</v>
      </c>
      <c r="F315" s="2" t="s">
        <v>9</v>
      </c>
      <c r="G315" s="2" t="s">
        <v>19</v>
      </c>
      <c r="H315" s="2" t="s">
        <v>18</v>
      </c>
      <c r="I315" s="2">
        <f t="shared" si="8"/>
        <v>734.52</v>
      </c>
      <c r="J315" s="2">
        <f t="shared" si="9"/>
        <v>9.2033579751910786</v>
      </c>
    </row>
    <row r="316" spans="1:10" x14ac:dyDescent="0.3">
      <c r="A316" s="1">
        <v>45365</v>
      </c>
      <c r="B316">
        <v>1071.77</v>
      </c>
      <c r="C316">
        <v>231.66</v>
      </c>
      <c r="D316">
        <v>7</v>
      </c>
      <c r="E316" s="2" t="s">
        <v>16</v>
      </c>
      <c r="F316" s="2" t="s">
        <v>9</v>
      </c>
      <c r="G316" s="2" t="s">
        <v>14</v>
      </c>
      <c r="H316" s="2" t="s">
        <v>15</v>
      </c>
      <c r="I316" s="2">
        <f t="shared" si="8"/>
        <v>840.11</v>
      </c>
      <c r="J316" s="2">
        <f t="shared" si="9"/>
        <v>3.6264784598117932</v>
      </c>
    </row>
    <row r="317" spans="1:10" x14ac:dyDescent="0.3">
      <c r="A317" s="1">
        <v>45370</v>
      </c>
      <c r="B317">
        <v>1298.1400000000001</v>
      </c>
      <c r="C317">
        <v>496.13</v>
      </c>
      <c r="D317">
        <v>3</v>
      </c>
      <c r="E317" s="2" t="s">
        <v>16</v>
      </c>
      <c r="F317" s="2" t="s">
        <v>17</v>
      </c>
      <c r="G317" s="2" t="s">
        <v>10</v>
      </c>
      <c r="H317" s="2" t="s">
        <v>15</v>
      </c>
      <c r="I317" s="2">
        <f t="shared" si="8"/>
        <v>802.0100000000001</v>
      </c>
      <c r="J317" s="2">
        <f t="shared" si="9"/>
        <v>1.6165319573498884</v>
      </c>
    </row>
    <row r="318" spans="1:10" x14ac:dyDescent="0.3">
      <c r="A318" s="1">
        <v>45405</v>
      </c>
      <c r="B318">
        <v>1369.65</v>
      </c>
      <c r="C318">
        <v>383.66</v>
      </c>
      <c r="D318">
        <v>2</v>
      </c>
      <c r="E318" s="2" t="s">
        <v>16</v>
      </c>
      <c r="F318" s="2" t="s">
        <v>17</v>
      </c>
      <c r="G318" s="2" t="s">
        <v>19</v>
      </c>
      <c r="H318" s="2" t="s">
        <v>15</v>
      </c>
      <c r="I318" s="2">
        <f t="shared" si="8"/>
        <v>985.99</v>
      </c>
      <c r="J318" s="2">
        <f t="shared" si="9"/>
        <v>2.5699577751133815</v>
      </c>
    </row>
    <row r="319" spans="1:10" x14ac:dyDescent="0.3">
      <c r="A319" s="1">
        <v>45368</v>
      </c>
      <c r="B319">
        <v>1008.39</v>
      </c>
      <c r="C319">
        <v>493.46</v>
      </c>
      <c r="D319">
        <v>7</v>
      </c>
      <c r="E319" s="2" t="s">
        <v>13</v>
      </c>
      <c r="F319" s="2" t="s">
        <v>9</v>
      </c>
      <c r="G319" s="2" t="s">
        <v>19</v>
      </c>
      <c r="H319" s="2" t="s">
        <v>15</v>
      </c>
      <c r="I319" s="2">
        <f t="shared" si="8"/>
        <v>514.93000000000006</v>
      </c>
      <c r="J319" s="2">
        <f t="shared" si="9"/>
        <v>1.0435090990151179</v>
      </c>
    </row>
    <row r="320" spans="1:10" x14ac:dyDescent="0.3">
      <c r="A320" s="1">
        <v>45313</v>
      </c>
      <c r="B320">
        <v>106.85</v>
      </c>
      <c r="C320">
        <v>280.88</v>
      </c>
      <c r="D320">
        <v>7</v>
      </c>
      <c r="E320" s="2" t="s">
        <v>13</v>
      </c>
      <c r="F320" s="2" t="s">
        <v>17</v>
      </c>
      <c r="G320" s="2" t="s">
        <v>14</v>
      </c>
      <c r="H320" s="2" t="s">
        <v>11</v>
      </c>
      <c r="I320" s="2">
        <f t="shared" si="8"/>
        <v>-174.03</v>
      </c>
      <c r="J320" s="2">
        <f t="shared" si="9"/>
        <v>-0.61958843634292227</v>
      </c>
    </row>
    <row r="321" spans="1:10" x14ac:dyDescent="0.3">
      <c r="A321" s="1">
        <v>45316</v>
      </c>
      <c r="B321">
        <v>867.63</v>
      </c>
      <c r="C321">
        <v>481.42</v>
      </c>
      <c r="D321">
        <v>8</v>
      </c>
      <c r="E321" s="2" t="s">
        <v>8</v>
      </c>
      <c r="F321" s="2" t="s">
        <v>17</v>
      </c>
      <c r="G321" s="2" t="s">
        <v>10</v>
      </c>
      <c r="H321" s="2" t="s">
        <v>11</v>
      </c>
      <c r="I321" s="2">
        <f t="shared" si="8"/>
        <v>386.21</v>
      </c>
      <c r="J321" s="2">
        <f t="shared" si="9"/>
        <v>0.80223090025341692</v>
      </c>
    </row>
    <row r="322" spans="1:10" x14ac:dyDescent="0.3">
      <c r="A322" s="1">
        <v>45408</v>
      </c>
      <c r="B322">
        <v>637.62</v>
      </c>
      <c r="C322">
        <v>49.32</v>
      </c>
      <c r="D322">
        <v>5</v>
      </c>
      <c r="E322" s="2" t="s">
        <v>16</v>
      </c>
      <c r="F322" s="2" t="s">
        <v>17</v>
      </c>
      <c r="G322" s="2" t="s">
        <v>19</v>
      </c>
      <c r="H322" s="2" t="s">
        <v>15</v>
      </c>
      <c r="I322" s="2">
        <f t="shared" ref="I322:I385" si="10">B322-C322</f>
        <v>588.29999999999995</v>
      </c>
      <c r="J322" s="2">
        <f t="shared" ref="J322:J385" si="11">IF(C322=0,0,I322/C322)</f>
        <v>11.928223844282238</v>
      </c>
    </row>
    <row r="323" spans="1:10" x14ac:dyDescent="0.3">
      <c r="A323" s="1">
        <v>45373</v>
      </c>
      <c r="B323">
        <v>1401.8</v>
      </c>
      <c r="C323">
        <v>371.74</v>
      </c>
      <c r="D323">
        <v>8</v>
      </c>
      <c r="E323" s="2" t="s">
        <v>16</v>
      </c>
      <c r="F323" s="2" t="s">
        <v>17</v>
      </c>
      <c r="G323" s="2" t="s">
        <v>10</v>
      </c>
      <c r="H323" s="2" t="s">
        <v>11</v>
      </c>
      <c r="I323" s="2">
        <f t="shared" si="10"/>
        <v>1030.06</v>
      </c>
      <c r="J323" s="2">
        <f t="shared" si="11"/>
        <v>2.7709151557540213</v>
      </c>
    </row>
    <row r="324" spans="1:10" x14ac:dyDescent="0.3">
      <c r="A324" s="1">
        <v>45296</v>
      </c>
      <c r="B324">
        <v>1436.7</v>
      </c>
      <c r="C324">
        <v>308.07</v>
      </c>
      <c r="D324">
        <v>2</v>
      </c>
      <c r="E324" s="2" t="s">
        <v>16</v>
      </c>
      <c r="F324" s="2" t="s">
        <v>9</v>
      </c>
      <c r="G324" s="2" t="s">
        <v>14</v>
      </c>
      <c r="H324" s="2" t="s">
        <v>11</v>
      </c>
      <c r="I324" s="2">
        <f t="shared" si="10"/>
        <v>1128.6300000000001</v>
      </c>
      <c r="J324" s="2">
        <f t="shared" si="11"/>
        <v>3.6635504917713511</v>
      </c>
    </row>
    <row r="325" spans="1:10" x14ac:dyDescent="0.3">
      <c r="A325" s="1">
        <v>45329</v>
      </c>
      <c r="B325">
        <v>849.37</v>
      </c>
      <c r="C325">
        <v>380.67</v>
      </c>
      <c r="D325">
        <v>7</v>
      </c>
      <c r="E325" s="2" t="s">
        <v>16</v>
      </c>
      <c r="F325" s="2" t="s">
        <v>17</v>
      </c>
      <c r="G325" s="2" t="s">
        <v>14</v>
      </c>
      <c r="H325" s="2" t="s">
        <v>11</v>
      </c>
      <c r="I325" s="2">
        <f t="shared" si="10"/>
        <v>468.7</v>
      </c>
      <c r="J325" s="2">
        <f t="shared" si="11"/>
        <v>1.2312501641842015</v>
      </c>
    </row>
    <row r="326" spans="1:10" x14ac:dyDescent="0.3">
      <c r="A326" s="1">
        <v>45350</v>
      </c>
      <c r="B326">
        <v>443.12</v>
      </c>
      <c r="C326">
        <v>91.14</v>
      </c>
      <c r="D326">
        <v>6</v>
      </c>
      <c r="E326" s="2" t="s">
        <v>13</v>
      </c>
      <c r="F326" s="2" t="s">
        <v>17</v>
      </c>
      <c r="G326" s="2" t="s">
        <v>12</v>
      </c>
      <c r="H326" s="2" t="s">
        <v>20</v>
      </c>
      <c r="I326" s="2">
        <f t="shared" si="10"/>
        <v>351.98</v>
      </c>
      <c r="J326" s="2">
        <f t="shared" si="11"/>
        <v>3.8619705946894887</v>
      </c>
    </row>
    <row r="327" spans="1:10" x14ac:dyDescent="0.3">
      <c r="A327" s="1">
        <v>45363</v>
      </c>
      <c r="B327">
        <v>724.39</v>
      </c>
      <c r="C327">
        <v>34.94</v>
      </c>
      <c r="D327">
        <v>10</v>
      </c>
      <c r="E327" s="2" t="s">
        <v>13</v>
      </c>
      <c r="F327" s="2" t="s">
        <v>17</v>
      </c>
      <c r="G327" s="2" t="s">
        <v>19</v>
      </c>
      <c r="H327" s="2" t="s">
        <v>15</v>
      </c>
      <c r="I327" s="2">
        <f t="shared" si="10"/>
        <v>689.45</v>
      </c>
      <c r="J327" s="2">
        <f t="shared" si="11"/>
        <v>19.732398397252435</v>
      </c>
    </row>
    <row r="328" spans="1:10" x14ac:dyDescent="0.3">
      <c r="A328" s="1">
        <v>45322</v>
      </c>
      <c r="B328">
        <v>292.39</v>
      </c>
      <c r="C328">
        <v>90.75</v>
      </c>
      <c r="D328">
        <v>5</v>
      </c>
      <c r="E328" s="2" t="s">
        <v>8</v>
      </c>
      <c r="F328" s="2" t="s">
        <v>9</v>
      </c>
      <c r="G328" s="2" t="s">
        <v>19</v>
      </c>
      <c r="H328" s="2" t="s">
        <v>15</v>
      </c>
      <c r="I328" s="2">
        <f t="shared" si="10"/>
        <v>201.64</v>
      </c>
      <c r="J328" s="2">
        <f t="shared" si="11"/>
        <v>2.2219283746556471</v>
      </c>
    </row>
    <row r="329" spans="1:10" x14ac:dyDescent="0.3">
      <c r="A329" s="1">
        <v>45372</v>
      </c>
      <c r="B329">
        <v>135.41999999999999</v>
      </c>
      <c r="C329">
        <v>423.45</v>
      </c>
      <c r="D329">
        <v>10</v>
      </c>
      <c r="E329" s="2" t="s">
        <v>8</v>
      </c>
      <c r="F329" s="2" t="s">
        <v>9</v>
      </c>
      <c r="G329" s="2" t="s">
        <v>12</v>
      </c>
      <c r="H329" s="2" t="s">
        <v>11</v>
      </c>
      <c r="I329" s="2">
        <f t="shared" si="10"/>
        <v>-288.02999999999997</v>
      </c>
      <c r="J329" s="2">
        <f t="shared" si="11"/>
        <v>-0.68019837052780729</v>
      </c>
    </row>
    <row r="330" spans="1:10" x14ac:dyDescent="0.3">
      <c r="A330" s="1">
        <v>45321</v>
      </c>
      <c r="B330">
        <v>916.54</v>
      </c>
      <c r="C330">
        <v>55.38</v>
      </c>
      <c r="D330">
        <v>7</v>
      </c>
      <c r="E330" s="2" t="s">
        <v>16</v>
      </c>
      <c r="F330" s="2" t="s">
        <v>9</v>
      </c>
      <c r="G330" s="2" t="s">
        <v>10</v>
      </c>
      <c r="H330" s="2" t="s">
        <v>18</v>
      </c>
      <c r="I330" s="2">
        <f t="shared" si="10"/>
        <v>861.16</v>
      </c>
      <c r="J330" s="2">
        <f t="shared" si="11"/>
        <v>15.55001805706031</v>
      </c>
    </row>
    <row r="331" spans="1:10" x14ac:dyDescent="0.3">
      <c r="A331" s="1">
        <v>45369</v>
      </c>
      <c r="B331">
        <v>1383.18</v>
      </c>
      <c r="C331">
        <v>415.76</v>
      </c>
      <c r="D331">
        <v>2</v>
      </c>
      <c r="E331" s="2" t="s">
        <v>8</v>
      </c>
      <c r="F331" s="2" t="s">
        <v>9</v>
      </c>
      <c r="G331" s="2" t="s">
        <v>10</v>
      </c>
      <c r="H331" s="2" t="s">
        <v>20</v>
      </c>
      <c r="I331" s="2">
        <f t="shared" si="10"/>
        <v>967.42000000000007</v>
      </c>
      <c r="J331" s="2">
        <f t="shared" si="11"/>
        <v>2.3268712718876277</v>
      </c>
    </row>
    <row r="332" spans="1:10" x14ac:dyDescent="0.3">
      <c r="A332" s="1">
        <v>45366</v>
      </c>
      <c r="B332">
        <v>1477.37</v>
      </c>
      <c r="C332">
        <v>293.19</v>
      </c>
      <c r="D332">
        <v>6</v>
      </c>
      <c r="E332" s="2" t="s">
        <v>13</v>
      </c>
      <c r="F332" s="2" t="s">
        <v>17</v>
      </c>
      <c r="G332" s="2" t="s">
        <v>14</v>
      </c>
      <c r="H332" s="2" t="s">
        <v>18</v>
      </c>
      <c r="I332" s="2">
        <f t="shared" si="10"/>
        <v>1184.1799999999998</v>
      </c>
      <c r="J332" s="2">
        <f t="shared" si="11"/>
        <v>4.0389508509840031</v>
      </c>
    </row>
    <row r="333" spans="1:10" x14ac:dyDescent="0.3">
      <c r="A333" s="1">
        <v>45378</v>
      </c>
      <c r="B333">
        <v>1428.38</v>
      </c>
      <c r="C333">
        <v>248.81</v>
      </c>
      <c r="D333">
        <v>5</v>
      </c>
      <c r="E333" s="2" t="s">
        <v>13</v>
      </c>
      <c r="F333" s="2" t="s">
        <v>9</v>
      </c>
      <c r="G333" s="2" t="s">
        <v>10</v>
      </c>
      <c r="H333" s="2" t="s">
        <v>11</v>
      </c>
      <c r="I333" s="2">
        <f t="shared" si="10"/>
        <v>1179.5700000000002</v>
      </c>
      <c r="J333" s="2">
        <f t="shared" si="11"/>
        <v>4.7408464290020502</v>
      </c>
    </row>
    <row r="334" spans="1:10" x14ac:dyDescent="0.3">
      <c r="A334" s="1">
        <v>45363</v>
      </c>
      <c r="B334">
        <v>1054.2</v>
      </c>
      <c r="C334">
        <v>323.23</v>
      </c>
      <c r="D334">
        <v>8</v>
      </c>
      <c r="E334" s="2" t="s">
        <v>8</v>
      </c>
      <c r="F334" s="2" t="s">
        <v>9</v>
      </c>
      <c r="G334" s="2" t="s">
        <v>14</v>
      </c>
      <c r="H334" s="2" t="s">
        <v>11</v>
      </c>
      <c r="I334" s="2">
        <f t="shared" si="10"/>
        <v>730.97</v>
      </c>
      <c r="J334" s="2">
        <f t="shared" si="11"/>
        <v>2.2614546917055964</v>
      </c>
    </row>
    <row r="335" spans="1:10" x14ac:dyDescent="0.3">
      <c r="A335" s="1">
        <v>45375</v>
      </c>
      <c r="B335">
        <v>813.66</v>
      </c>
      <c r="C335">
        <v>425.21</v>
      </c>
      <c r="D335">
        <v>4</v>
      </c>
      <c r="E335" s="2" t="s">
        <v>8</v>
      </c>
      <c r="F335" s="2" t="s">
        <v>17</v>
      </c>
      <c r="G335" s="2" t="s">
        <v>10</v>
      </c>
      <c r="H335" s="2" t="s">
        <v>11</v>
      </c>
      <c r="I335" s="2">
        <f t="shared" si="10"/>
        <v>388.45</v>
      </c>
      <c r="J335" s="2">
        <f t="shared" si="11"/>
        <v>0.91354859951553347</v>
      </c>
    </row>
    <row r="336" spans="1:10" x14ac:dyDescent="0.3">
      <c r="A336" s="1">
        <v>45351</v>
      </c>
      <c r="B336">
        <v>235.11</v>
      </c>
      <c r="C336">
        <v>337.99</v>
      </c>
      <c r="D336">
        <v>10</v>
      </c>
      <c r="E336" s="2" t="s">
        <v>16</v>
      </c>
      <c r="F336" s="2" t="s">
        <v>9</v>
      </c>
      <c r="G336" s="2" t="s">
        <v>10</v>
      </c>
      <c r="H336" s="2" t="s">
        <v>11</v>
      </c>
      <c r="I336" s="2">
        <f t="shared" si="10"/>
        <v>-102.88</v>
      </c>
      <c r="J336" s="2">
        <f t="shared" si="11"/>
        <v>-0.30438770377821828</v>
      </c>
    </row>
    <row r="337" spans="1:10" x14ac:dyDescent="0.3">
      <c r="A337" s="1">
        <v>45399</v>
      </c>
      <c r="B337">
        <v>1223.9000000000001</v>
      </c>
      <c r="C337">
        <v>433.05</v>
      </c>
      <c r="D337">
        <v>7</v>
      </c>
      <c r="E337" s="2" t="s">
        <v>13</v>
      </c>
      <c r="F337" s="2" t="s">
        <v>9</v>
      </c>
      <c r="G337" s="2" t="s">
        <v>10</v>
      </c>
      <c r="H337" s="2" t="s">
        <v>11</v>
      </c>
      <c r="I337" s="2">
        <f t="shared" si="10"/>
        <v>790.85000000000014</v>
      </c>
      <c r="J337" s="2">
        <f t="shared" si="11"/>
        <v>1.8262325366585848</v>
      </c>
    </row>
    <row r="338" spans="1:10" x14ac:dyDescent="0.3">
      <c r="A338" s="1">
        <v>45370</v>
      </c>
      <c r="B338">
        <v>156.97</v>
      </c>
      <c r="C338">
        <v>295.98</v>
      </c>
      <c r="D338">
        <v>9</v>
      </c>
      <c r="E338" s="2" t="s">
        <v>13</v>
      </c>
      <c r="F338" s="2" t="s">
        <v>17</v>
      </c>
      <c r="G338" s="2" t="s">
        <v>19</v>
      </c>
      <c r="H338" s="2" t="s">
        <v>18</v>
      </c>
      <c r="I338" s="2">
        <f t="shared" si="10"/>
        <v>-139.01000000000002</v>
      </c>
      <c r="J338" s="2">
        <f t="shared" si="11"/>
        <v>-0.46966011216974124</v>
      </c>
    </row>
    <row r="339" spans="1:10" x14ac:dyDescent="0.3">
      <c r="A339" s="1">
        <v>45302</v>
      </c>
      <c r="B339">
        <v>1301.69</v>
      </c>
      <c r="C339">
        <v>201.61</v>
      </c>
      <c r="D339">
        <v>6</v>
      </c>
      <c r="E339" s="2" t="s">
        <v>8</v>
      </c>
      <c r="F339" s="2" t="s">
        <v>17</v>
      </c>
      <c r="G339" s="2" t="s">
        <v>12</v>
      </c>
      <c r="H339" s="2" t="s">
        <v>11</v>
      </c>
      <c r="I339" s="2">
        <f t="shared" si="10"/>
        <v>1100.08</v>
      </c>
      <c r="J339" s="2">
        <f t="shared" si="11"/>
        <v>5.4564753732453743</v>
      </c>
    </row>
    <row r="340" spans="1:10" x14ac:dyDescent="0.3">
      <c r="A340" s="1">
        <v>45390</v>
      </c>
      <c r="B340">
        <v>1488.73</v>
      </c>
      <c r="C340">
        <v>253.23</v>
      </c>
      <c r="D340">
        <v>6</v>
      </c>
      <c r="E340" s="2" t="s">
        <v>16</v>
      </c>
      <c r="F340" s="2" t="s">
        <v>9</v>
      </c>
      <c r="G340" s="2" t="s">
        <v>12</v>
      </c>
      <c r="H340" s="2" t="s">
        <v>15</v>
      </c>
      <c r="I340" s="2">
        <f t="shared" si="10"/>
        <v>1235.5</v>
      </c>
      <c r="J340" s="2">
        <f t="shared" si="11"/>
        <v>4.8789637878608385</v>
      </c>
    </row>
    <row r="341" spans="1:10" x14ac:dyDescent="0.3">
      <c r="A341" s="1">
        <v>45349</v>
      </c>
      <c r="B341">
        <v>722.67</v>
      </c>
      <c r="C341">
        <v>481.22</v>
      </c>
      <c r="D341">
        <v>5</v>
      </c>
      <c r="E341" s="2" t="s">
        <v>16</v>
      </c>
      <c r="F341" s="2" t="s">
        <v>17</v>
      </c>
      <c r="G341" s="2" t="s">
        <v>12</v>
      </c>
      <c r="H341" s="2" t="s">
        <v>15</v>
      </c>
      <c r="I341" s="2">
        <f t="shared" si="10"/>
        <v>241.44999999999993</v>
      </c>
      <c r="J341" s="2">
        <f t="shared" si="11"/>
        <v>0.5017455633597937</v>
      </c>
    </row>
    <row r="342" spans="1:10" x14ac:dyDescent="0.3">
      <c r="A342" s="1">
        <v>45295</v>
      </c>
      <c r="B342">
        <v>313.23</v>
      </c>
      <c r="C342">
        <v>225.91</v>
      </c>
      <c r="D342">
        <v>5</v>
      </c>
      <c r="E342" s="2" t="s">
        <v>8</v>
      </c>
      <c r="F342" s="2" t="s">
        <v>9</v>
      </c>
      <c r="G342" s="2" t="s">
        <v>19</v>
      </c>
      <c r="H342" s="2" t="s">
        <v>15</v>
      </c>
      <c r="I342" s="2">
        <f t="shared" si="10"/>
        <v>87.320000000000022</v>
      </c>
      <c r="J342" s="2">
        <f t="shared" si="11"/>
        <v>0.38652560754282689</v>
      </c>
    </row>
    <row r="343" spans="1:10" x14ac:dyDescent="0.3">
      <c r="A343" s="1">
        <v>45400</v>
      </c>
      <c r="B343">
        <v>890.79</v>
      </c>
      <c r="C343">
        <v>162.33000000000001</v>
      </c>
      <c r="D343">
        <v>5</v>
      </c>
      <c r="E343" s="2" t="s">
        <v>13</v>
      </c>
      <c r="F343" s="2" t="s">
        <v>9</v>
      </c>
      <c r="G343" s="2" t="s">
        <v>14</v>
      </c>
      <c r="H343" s="2" t="s">
        <v>15</v>
      </c>
      <c r="I343" s="2">
        <f t="shared" si="10"/>
        <v>728.45999999999992</v>
      </c>
      <c r="J343" s="2">
        <f t="shared" si="11"/>
        <v>4.4875254111994076</v>
      </c>
    </row>
    <row r="344" spans="1:10" x14ac:dyDescent="0.3">
      <c r="A344" s="1">
        <v>45387</v>
      </c>
      <c r="B344">
        <v>1251.54</v>
      </c>
      <c r="C344">
        <v>292.67</v>
      </c>
      <c r="D344">
        <v>1</v>
      </c>
      <c r="E344" s="2" t="s">
        <v>13</v>
      </c>
      <c r="F344" s="2" t="s">
        <v>17</v>
      </c>
      <c r="G344" s="2" t="s">
        <v>10</v>
      </c>
      <c r="H344" s="2" t="s">
        <v>18</v>
      </c>
      <c r="I344" s="2">
        <f t="shared" si="10"/>
        <v>958.86999999999989</v>
      </c>
      <c r="J344" s="2">
        <f t="shared" si="11"/>
        <v>3.2762838692042227</v>
      </c>
    </row>
    <row r="345" spans="1:10" x14ac:dyDescent="0.3">
      <c r="A345" s="1">
        <v>45335</v>
      </c>
      <c r="B345">
        <v>1174.53</v>
      </c>
      <c r="C345">
        <v>256</v>
      </c>
      <c r="D345">
        <v>6</v>
      </c>
      <c r="E345" s="2" t="s">
        <v>13</v>
      </c>
      <c r="F345" s="2" t="s">
        <v>9</v>
      </c>
      <c r="G345" s="2" t="s">
        <v>10</v>
      </c>
      <c r="H345" s="2" t="s">
        <v>11</v>
      </c>
      <c r="I345" s="2">
        <f t="shared" si="10"/>
        <v>918.53</v>
      </c>
      <c r="J345" s="2">
        <f t="shared" si="11"/>
        <v>3.5880078124999999</v>
      </c>
    </row>
    <row r="346" spans="1:10" x14ac:dyDescent="0.3">
      <c r="A346" s="1">
        <v>45341</v>
      </c>
      <c r="B346">
        <v>96.4</v>
      </c>
      <c r="C346">
        <v>23.03</v>
      </c>
      <c r="D346">
        <v>1</v>
      </c>
      <c r="E346" s="2" t="s">
        <v>13</v>
      </c>
      <c r="F346" s="2" t="s">
        <v>9</v>
      </c>
      <c r="G346" s="2" t="s">
        <v>10</v>
      </c>
      <c r="H346" s="2" t="s">
        <v>11</v>
      </c>
      <c r="I346" s="2">
        <f t="shared" si="10"/>
        <v>73.37</v>
      </c>
      <c r="J346" s="2">
        <f t="shared" si="11"/>
        <v>3.1858445505861921</v>
      </c>
    </row>
    <row r="347" spans="1:10" x14ac:dyDescent="0.3">
      <c r="A347" s="1">
        <v>45328</v>
      </c>
      <c r="B347">
        <v>1473.97</v>
      </c>
      <c r="C347">
        <v>152.82</v>
      </c>
      <c r="D347">
        <v>0</v>
      </c>
      <c r="E347" s="2" t="s">
        <v>16</v>
      </c>
      <c r="F347" s="2" t="s">
        <v>17</v>
      </c>
      <c r="G347" s="2" t="s">
        <v>10</v>
      </c>
      <c r="H347" s="2" t="s">
        <v>18</v>
      </c>
      <c r="I347" s="2">
        <f t="shared" si="10"/>
        <v>1321.15</v>
      </c>
      <c r="J347" s="2">
        <f t="shared" si="11"/>
        <v>8.6451380709331254</v>
      </c>
    </row>
    <row r="348" spans="1:10" x14ac:dyDescent="0.3">
      <c r="A348" s="1">
        <v>45330</v>
      </c>
      <c r="B348">
        <v>809.1</v>
      </c>
      <c r="C348">
        <v>84.79</v>
      </c>
      <c r="D348">
        <v>7</v>
      </c>
      <c r="E348" s="2" t="s">
        <v>8</v>
      </c>
      <c r="F348" s="2" t="s">
        <v>17</v>
      </c>
      <c r="G348" s="2" t="s">
        <v>14</v>
      </c>
      <c r="H348" s="2" t="s">
        <v>18</v>
      </c>
      <c r="I348" s="2">
        <f t="shared" si="10"/>
        <v>724.31000000000006</v>
      </c>
      <c r="J348" s="2">
        <f t="shared" si="11"/>
        <v>8.5423988677910128</v>
      </c>
    </row>
    <row r="349" spans="1:10" x14ac:dyDescent="0.3">
      <c r="A349" s="1">
        <v>45319</v>
      </c>
      <c r="B349">
        <v>172.01</v>
      </c>
      <c r="C349">
        <v>78.8</v>
      </c>
      <c r="D349">
        <v>1</v>
      </c>
      <c r="E349" s="2" t="s">
        <v>13</v>
      </c>
      <c r="F349" s="2" t="s">
        <v>17</v>
      </c>
      <c r="G349" s="2" t="s">
        <v>12</v>
      </c>
      <c r="H349" s="2" t="s">
        <v>15</v>
      </c>
      <c r="I349" s="2">
        <f t="shared" si="10"/>
        <v>93.21</v>
      </c>
      <c r="J349" s="2">
        <f t="shared" si="11"/>
        <v>1.1828680203045685</v>
      </c>
    </row>
    <row r="350" spans="1:10" x14ac:dyDescent="0.3">
      <c r="A350" s="1">
        <v>45322</v>
      </c>
      <c r="B350">
        <v>1289.52</v>
      </c>
      <c r="C350">
        <v>333.19</v>
      </c>
      <c r="D350">
        <v>2</v>
      </c>
      <c r="E350" s="2" t="s">
        <v>8</v>
      </c>
      <c r="F350" s="2" t="s">
        <v>17</v>
      </c>
      <c r="G350" s="2" t="s">
        <v>19</v>
      </c>
      <c r="H350" s="2" t="s">
        <v>18</v>
      </c>
      <c r="I350" s="2">
        <f t="shared" si="10"/>
        <v>956.32999999999993</v>
      </c>
      <c r="J350" s="2">
        <f t="shared" si="11"/>
        <v>2.8702241964044539</v>
      </c>
    </row>
    <row r="351" spans="1:10" x14ac:dyDescent="0.3">
      <c r="A351" s="1">
        <v>45326</v>
      </c>
      <c r="B351">
        <v>341.36</v>
      </c>
      <c r="C351">
        <v>13.02</v>
      </c>
      <c r="D351">
        <v>5</v>
      </c>
      <c r="E351" s="2" t="s">
        <v>16</v>
      </c>
      <c r="F351" s="2" t="s">
        <v>9</v>
      </c>
      <c r="G351" s="2" t="s">
        <v>10</v>
      </c>
      <c r="H351" s="2" t="s">
        <v>15</v>
      </c>
      <c r="I351" s="2">
        <f t="shared" si="10"/>
        <v>328.34000000000003</v>
      </c>
      <c r="J351" s="2">
        <f t="shared" si="11"/>
        <v>25.218125960061446</v>
      </c>
    </row>
    <row r="352" spans="1:10" x14ac:dyDescent="0.3">
      <c r="A352" s="1">
        <v>45363</v>
      </c>
      <c r="B352">
        <v>786.85</v>
      </c>
      <c r="C352">
        <v>421.77</v>
      </c>
      <c r="D352">
        <v>1</v>
      </c>
      <c r="E352" s="2" t="s">
        <v>16</v>
      </c>
      <c r="F352" s="2" t="s">
        <v>9</v>
      </c>
      <c r="G352" s="2" t="s">
        <v>19</v>
      </c>
      <c r="H352" s="2" t="s">
        <v>20</v>
      </c>
      <c r="I352" s="2">
        <f t="shared" si="10"/>
        <v>365.08000000000004</v>
      </c>
      <c r="J352" s="2">
        <f t="shared" si="11"/>
        <v>0.86559025061052242</v>
      </c>
    </row>
    <row r="353" spans="1:10" x14ac:dyDescent="0.3">
      <c r="A353" s="1">
        <v>45339</v>
      </c>
      <c r="B353">
        <v>1214.6600000000001</v>
      </c>
      <c r="C353">
        <v>107.74</v>
      </c>
      <c r="D353">
        <v>8</v>
      </c>
      <c r="E353" s="2" t="s">
        <v>16</v>
      </c>
      <c r="F353" s="2" t="s">
        <v>17</v>
      </c>
      <c r="G353" s="2" t="s">
        <v>14</v>
      </c>
      <c r="H353" s="2" t="s">
        <v>11</v>
      </c>
      <c r="I353" s="2">
        <f t="shared" si="10"/>
        <v>1106.92</v>
      </c>
      <c r="J353" s="2">
        <f t="shared" si="11"/>
        <v>10.273992945981067</v>
      </c>
    </row>
    <row r="354" spans="1:10" x14ac:dyDescent="0.3">
      <c r="A354" s="1">
        <v>45317</v>
      </c>
      <c r="B354">
        <v>63.72</v>
      </c>
      <c r="C354">
        <v>252.36</v>
      </c>
      <c r="D354">
        <v>4</v>
      </c>
      <c r="E354" s="2" t="s">
        <v>13</v>
      </c>
      <c r="F354" s="2" t="s">
        <v>17</v>
      </c>
      <c r="G354" s="2" t="s">
        <v>19</v>
      </c>
      <c r="H354" s="2" t="s">
        <v>20</v>
      </c>
      <c r="I354" s="2">
        <f t="shared" si="10"/>
        <v>-188.64000000000001</v>
      </c>
      <c r="J354" s="2">
        <f t="shared" si="11"/>
        <v>-0.74750356633380888</v>
      </c>
    </row>
    <row r="355" spans="1:10" x14ac:dyDescent="0.3">
      <c r="A355" s="1">
        <v>45304</v>
      </c>
      <c r="B355">
        <v>1473.95</v>
      </c>
      <c r="C355">
        <v>278.92</v>
      </c>
      <c r="D355">
        <v>7</v>
      </c>
      <c r="E355" s="2" t="s">
        <v>8</v>
      </c>
      <c r="F355" s="2" t="s">
        <v>9</v>
      </c>
      <c r="G355" s="2" t="s">
        <v>10</v>
      </c>
      <c r="H355" s="2" t="s">
        <v>20</v>
      </c>
      <c r="I355" s="2">
        <f t="shared" si="10"/>
        <v>1195.03</v>
      </c>
      <c r="J355" s="2">
        <f t="shared" si="11"/>
        <v>4.284490176394665</v>
      </c>
    </row>
    <row r="356" spans="1:10" x14ac:dyDescent="0.3">
      <c r="A356" s="1">
        <v>45299</v>
      </c>
      <c r="B356">
        <v>932.72</v>
      </c>
      <c r="C356">
        <v>303.02</v>
      </c>
      <c r="D356">
        <v>9</v>
      </c>
      <c r="E356" s="2" t="s">
        <v>16</v>
      </c>
      <c r="F356" s="2" t="s">
        <v>9</v>
      </c>
      <c r="G356" s="2" t="s">
        <v>12</v>
      </c>
      <c r="H356" s="2" t="s">
        <v>20</v>
      </c>
      <c r="I356" s="2">
        <f t="shared" si="10"/>
        <v>629.70000000000005</v>
      </c>
      <c r="J356" s="2">
        <f t="shared" si="11"/>
        <v>2.0780806547422617</v>
      </c>
    </row>
    <row r="357" spans="1:10" x14ac:dyDescent="0.3">
      <c r="A357" s="1">
        <v>45375</v>
      </c>
      <c r="B357">
        <v>382.85</v>
      </c>
      <c r="C357">
        <v>52.28</v>
      </c>
      <c r="D357">
        <v>10</v>
      </c>
      <c r="E357" s="2" t="s">
        <v>13</v>
      </c>
      <c r="F357" s="2" t="s">
        <v>17</v>
      </c>
      <c r="G357" s="2" t="s">
        <v>10</v>
      </c>
      <c r="H357" s="2" t="s">
        <v>11</v>
      </c>
      <c r="I357" s="2">
        <f t="shared" si="10"/>
        <v>330.57000000000005</v>
      </c>
      <c r="J357" s="2">
        <f t="shared" si="11"/>
        <v>6.3230680948737579</v>
      </c>
    </row>
    <row r="358" spans="1:10" x14ac:dyDescent="0.3">
      <c r="A358" s="1">
        <v>45313</v>
      </c>
      <c r="B358">
        <v>183.42</v>
      </c>
      <c r="C358">
        <v>30.09</v>
      </c>
      <c r="D358">
        <v>3</v>
      </c>
      <c r="E358" s="2" t="s">
        <v>13</v>
      </c>
      <c r="F358" s="2" t="s">
        <v>9</v>
      </c>
      <c r="G358" s="2" t="s">
        <v>14</v>
      </c>
      <c r="H358" s="2" t="s">
        <v>15</v>
      </c>
      <c r="I358" s="2">
        <f t="shared" si="10"/>
        <v>153.32999999999998</v>
      </c>
      <c r="J358" s="2">
        <f t="shared" si="11"/>
        <v>5.0957128614157519</v>
      </c>
    </row>
    <row r="359" spans="1:10" x14ac:dyDescent="0.3">
      <c r="A359" s="1">
        <v>45378</v>
      </c>
      <c r="B359">
        <v>1180.69</v>
      </c>
      <c r="C359">
        <v>403.32</v>
      </c>
      <c r="D359">
        <v>0</v>
      </c>
      <c r="E359" s="2" t="s">
        <v>13</v>
      </c>
      <c r="F359" s="2" t="s">
        <v>9</v>
      </c>
      <c r="G359" s="2" t="s">
        <v>19</v>
      </c>
      <c r="H359" s="2" t="s">
        <v>11</v>
      </c>
      <c r="I359" s="2">
        <f t="shared" si="10"/>
        <v>777.37000000000012</v>
      </c>
      <c r="J359" s="2">
        <f t="shared" si="11"/>
        <v>1.9274273529703465</v>
      </c>
    </row>
    <row r="360" spans="1:10" x14ac:dyDescent="0.3">
      <c r="A360" s="1">
        <v>45330</v>
      </c>
      <c r="B360">
        <v>954.92</v>
      </c>
      <c r="C360">
        <v>283.43</v>
      </c>
      <c r="D360">
        <v>2</v>
      </c>
      <c r="E360" s="2" t="s">
        <v>16</v>
      </c>
      <c r="F360" s="2" t="s">
        <v>9</v>
      </c>
      <c r="G360" s="2" t="s">
        <v>19</v>
      </c>
      <c r="H360" s="2" t="s">
        <v>20</v>
      </c>
      <c r="I360" s="2">
        <f t="shared" si="10"/>
        <v>671.49</v>
      </c>
      <c r="J360" s="2">
        <f t="shared" si="11"/>
        <v>2.3691564054616658</v>
      </c>
    </row>
    <row r="361" spans="1:10" x14ac:dyDescent="0.3">
      <c r="A361" s="1">
        <v>45330</v>
      </c>
      <c r="B361">
        <v>436.92</v>
      </c>
      <c r="C361">
        <v>268.61</v>
      </c>
      <c r="D361">
        <v>5</v>
      </c>
      <c r="E361" s="2" t="s">
        <v>16</v>
      </c>
      <c r="F361" s="2" t="s">
        <v>9</v>
      </c>
      <c r="G361" s="2" t="s">
        <v>19</v>
      </c>
      <c r="H361" s="2" t="s">
        <v>11</v>
      </c>
      <c r="I361" s="2">
        <f t="shared" si="10"/>
        <v>168.31</v>
      </c>
      <c r="J361" s="2">
        <f t="shared" si="11"/>
        <v>0.62659618033580278</v>
      </c>
    </row>
    <row r="362" spans="1:10" x14ac:dyDescent="0.3">
      <c r="A362" s="1">
        <v>45378</v>
      </c>
      <c r="B362">
        <v>1437.69</v>
      </c>
      <c r="C362">
        <v>499.37</v>
      </c>
      <c r="D362">
        <v>6</v>
      </c>
      <c r="E362" s="2" t="s">
        <v>16</v>
      </c>
      <c r="F362" s="2" t="s">
        <v>17</v>
      </c>
      <c r="G362" s="2" t="s">
        <v>14</v>
      </c>
      <c r="H362" s="2" t="s">
        <v>18</v>
      </c>
      <c r="I362" s="2">
        <f t="shared" si="10"/>
        <v>938.32</v>
      </c>
      <c r="J362" s="2">
        <f t="shared" si="11"/>
        <v>1.8790075495123857</v>
      </c>
    </row>
    <row r="363" spans="1:10" x14ac:dyDescent="0.3">
      <c r="A363" s="1">
        <v>45378</v>
      </c>
      <c r="B363">
        <v>1360.64</v>
      </c>
      <c r="C363">
        <v>370.09</v>
      </c>
      <c r="D363">
        <v>4</v>
      </c>
      <c r="E363" s="2" t="s">
        <v>16</v>
      </c>
      <c r="F363" s="2" t="s">
        <v>17</v>
      </c>
      <c r="G363" s="2" t="s">
        <v>14</v>
      </c>
      <c r="H363" s="2" t="s">
        <v>18</v>
      </c>
      <c r="I363" s="2">
        <f t="shared" si="10"/>
        <v>990.55000000000018</v>
      </c>
      <c r="J363" s="2">
        <f t="shared" si="11"/>
        <v>2.6765111189170208</v>
      </c>
    </row>
    <row r="364" spans="1:10" x14ac:dyDescent="0.3">
      <c r="A364" s="1">
        <v>45310</v>
      </c>
      <c r="B364">
        <v>1131.33</v>
      </c>
      <c r="C364">
        <v>446.29</v>
      </c>
      <c r="D364">
        <v>8</v>
      </c>
      <c r="E364" s="2" t="s">
        <v>16</v>
      </c>
      <c r="F364" s="2" t="s">
        <v>9</v>
      </c>
      <c r="G364" s="2" t="s">
        <v>19</v>
      </c>
      <c r="H364" s="2" t="s">
        <v>18</v>
      </c>
      <c r="I364" s="2">
        <f t="shared" si="10"/>
        <v>685.04</v>
      </c>
      <c r="J364" s="2">
        <f t="shared" si="11"/>
        <v>1.5349660534629948</v>
      </c>
    </row>
    <row r="365" spans="1:10" x14ac:dyDescent="0.3">
      <c r="A365" s="1">
        <v>45349</v>
      </c>
      <c r="B365">
        <v>1228.04</v>
      </c>
      <c r="C365">
        <v>482.41</v>
      </c>
      <c r="D365">
        <v>6</v>
      </c>
      <c r="E365" s="2" t="s">
        <v>13</v>
      </c>
      <c r="F365" s="2" t="s">
        <v>9</v>
      </c>
      <c r="G365" s="2" t="s">
        <v>14</v>
      </c>
      <c r="H365" s="2" t="s">
        <v>20</v>
      </c>
      <c r="I365" s="2">
        <f t="shared" si="10"/>
        <v>745.62999999999988</v>
      </c>
      <c r="J365" s="2">
        <f t="shared" si="11"/>
        <v>1.54563545531809</v>
      </c>
    </row>
    <row r="366" spans="1:10" x14ac:dyDescent="0.3">
      <c r="A366" s="1">
        <v>45412</v>
      </c>
      <c r="B366">
        <v>957.82</v>
      </c>
      <c r="C366">
        <v>331.29</v>
      </c>
      <c r="D366">
        <v>5</v>
      </c>
      <c r="E366" s="2" t="s">
        <v>13</v>
      </c>
      <c r="F366" s="2" t="s">
        <v>17</v>
      </c>
      <c r="G366" s="2" t="s">
        <v>14</v>
      </c>
      <c r="H366" s="2" t="s">
        <v>18</v>
      </c>
      <c r="I366" s="2">
        <f t="shared" si="10"/>
        <v>626.53</v>
      </c>
      <c r="J366" s="2">
        <f t="shared" si="11"/>
        <v>1.8911829514926497</v>
      </c>
    </row>
    <row r="367" spans="1:10" x14ac:dyDescent="0.3">
      <c r="A367" s="1">
        <v>45408</v>
      </c>
      <c r="B367">
        <v>360.98</v>
      </c>
      <c r="C367">
        <v>334.52</v>
      </c>
      <c r="D367">
        <v>4</v>
      </c>
      <c r="E367" s="2" t="s">
        <v>8</v>
      </c>
      <c r="F367" s="2" t="s">
        <v>9</v>
      </c>
      <c r="G367" s="2" t="s">
        <v>12</v>
      </c>
      <c r="H367" s="2" t="s">
        <v>15</v>
      </c>
      <c r="I367" s="2">
        <f t="shared" si="10"/>
        <v>26.460000000000036</v>
      </c>
      <c r="J367" s="2">
        <f t="shared" si="11"/>
        <v>7.9098409661604807E-2</v>
      </c>
    </row>
    <row r="368" spans="1:10" x14ac:dyDescent="0.3">
      <c r="A368" s="1">
        <v>45410</v>
      </c>
      <c r="B368">
        <v>198.02</v>
      </c>
      <c r="C368">
        <v>428.1</v>
      </c>
      <c r="D368">
        <v>1</v>
      </c>
      <c r="E368" s="2" t="s">
        <v>16</v>
      </c>
      <c r="F368" s="2" t="s">
        <v>17</v>
      </c>
      <c r="G368" s="2" t="s">
        <v>10</v>
      </c>
      <c r="H368" s="2" t="s">
        <v>20</v>
      </c>
      <c r="I368" s="2">
        <f t="shared" si="10"/>
        <v>-230.08</v>
      </c>
      <c r="J368" s="2">
        <f t="shared" si="11"/>
        <v>-0.53744452230787199</v>
      </c>
    </row>
    <row r="369" spans="1:10" x14ac:dyDescent="0.3">
      <c r="A369" s="1">
        <v>45368</v>
      </c>
      <c r="B369">
        <v>976.22</v>
      </c>
      <c r="C369">
        <v>19.489999999999998</v>
      </c>
      <c r="D369">
        <v>8</v>
      </c>
      <c r="E369" s="2" t="s">
        <v>13</v>
      </c>
      <c r="F369" s="2" t="s">
        <v>9</v>
      </c>
      <c r="G369" s="2" t="s">
        <v>12</v>
      </c>
      <c r="H369" s="2" t="s">
        <v>15</v>
      </c>
      <c r="I369" s="2">
        <f t="shared" si="10"/>
        <v>956.73</v>
      </c>
      <c r="J369" s="2">
        <f t="shared" si="11"/>
        <v>49.088250384812731</v>
      </c>
    </row>
    <row r="370" spans="1:10" x14ac:dyDescent="0.3">
      <c r="A370" s="1">
        <v>45322</v>
      </c>
      <c r="B370">
        <v>1234.21</v>
      </c>
      <c r="C370">
        <v>198.86</v>
      </c>
      <c r="D370">
        <v>5</v>
      </c>
      <c r="E370" s="2" t="s">
        <v>13</v>
      </c>
      <c r="F370" s="2" t="s">
        <v>9</v>
      </c>
      <c r="G370" s="2" t="s">
        <v>14</v>
      </c>
      <c r="H370" s="2" t="s">
        <v>15</v>
      </c>
      <c r="I370" s="2">
        <f t="shared" si="10"/>
        <v>1035.3499999999999</v>
      </c>
      <c r="J370" s="2">
        <f t="shared" si="11"/>
        <v>5.206426631801266</v>
      </c>
    </row>
    <row r="371" spans="1:10" x14ac:dyDescent="0.3">
      <c r="A371" s="1">
        <v>45401</v>
      </c>
      <c r="B371">
        <v>1267.8399999999999</v>
      </c>
      <c r="C371">
        <v>490.28</v>
      </c>
      <c r="D371">
        <v>7</v>
      </c>
      <c r="E371" s="2" t="s">
        <v>13</v>
      </c>
      <c r="F371" s="2" t="s">
        <v>17</v>
      </c>
      <c r="G371" s="2" t="s">
        <v>10</v>
      </c>
      <c r="H371" s="2" t="s">
        <v>11</v>
      </c>
      <c r="I371" s="2">
        <f t="shared" si="10"/>
        <v>777.56</v>
      </c>
      <c r="J371" s="2">
        <f t="shared" si="11"/>
        <v>1.5859508852084523</v>
      </c>
    </row>
    <row r="372" spans="1:10" x14ac:dyDescent="0.3">
      <c r="A372" s="1">
        <v>45311</v>
      </c>
      <c r="B372">
        <v>1120.9000000000001</v>
      </c>
      <c r="C372">
        <v>206.22</v>
      </c>
      <c r="D372">
        <v>4</v>
      </c>
      <c r="E372" s="2" t="s">
        <v>8</v>
      </c>
      <c r="F372" s="2" t="s">
        <v>9</v>
      </c>
      <c r="G372" s="2" t="s">
        <v>12</v>
      </c>
      <c r="H372" s="2" t="s">
        <v>11</v>
      </c>
      <c r="I372" s="2">
        <f t="shared" si="10"/>
        <v>914.68000000000006</v>
      </c>
      <c r="J372" s="2">
        <f t="shared" si="11"/>
        <v>4.4354572786344688</v>
      </c>
    </row>
    <row r="373" spans="1:10" x14ac:dyDescent="0.3">
      <c r="A373" s="1">
        <v>45354</v>
      </c>
      <c r="B373">
        <v>793.88</v>
      </c>
      <c r="C373">
        <v>434.89</v>
      </c>
      <c r="D373">
        <v>10</v>
      </c>
      <c r="E373" s="2" t="s">
        <v>8</v>
      </c>
      <c r="F373" s="2" t="s">
        <v>9</v>
      </c>
      <c r="G373" s="2" t="s">
        <v>14</v>
      </c>
      <c r="H373" s="2" t="s">
        <v>15</v>
      </c>
      <c r="I373" s="2">
        <f t="shared" si="10"/>
        <v>358.99</v>
      </c>
      <c r="J373" s="2">
        <f t="shared" si="11"/>
        <v>0.82547310814228891</v>
      </c>
    </row>
    <row r="374" spans="1:10" x14ac:dyDescent="0.3">
      <c r="A374" s="1">
        <v>45382</v>
      </c>
      <c r="B374">
        <v>1421.91</v>
      </c>
      <c r="C374">
        <v>197.67</v>
      </c>
      <c r="D374">
        <v>3</v>
      </c>
      <c r="E374" s="2" t="s">
        <v>8</v>
      </c>
      <c r="F374" s="2" t="s">
        <v>17</v>
      </c>
      <c r="G374" s="2" t="s">
        <v>14</v>
      </c>
      <c r="H374" s="2" t="s">
        <v>18</v>
      </c>
      <c r="I374" s="2">
        <f t="shared" si="10"/>
        <v>1224.24</v>
      </c>
      <c r="J374" s="2">
        <f t="shared" si="11"/>
        <v>6.1933525572924575</v>
      </c>
    </row>
    <row r="375" spans="1:10" x14ac:dyDescent="0.3">
      <c r="A375" s="1">
        <v>45341</v>
      </c>
      <c r="B375">
        <v>525.5</v>
      </c>
      <c r="C375">
        <v>453.61</v>
      </c>
      <c r="D375">
        <v>10</v>
      </c>
      <c r="E375" s="2" t="s">
        <v>13</v>
      </c>
      <c r="F375" s="2" t="s">
        <v>17</v>
      </c>
      <c r="G375" s="2" t="s">
        <v>12</v>
      </c>
      <c r="H375" s="2" t="s">
        <v>11</v>
      </c>
      <c r="I375" s="2">
        <f t="shared" si="10"/>
        <v>71.889999999999986</v>
      </c>
      <c r="J375" s="2">
        <f t="shared" si="11"/>
        <v>0.1584841604021075</v>
      </c>
    </row>
    <row r="376" spans="1:10" x14ac:dyDescent="0.3">
      <c r="A376" s="1">
        <v>45408</v>
      </c>
      <c r="B376">
        <v>726.64</v>
      </c>
      <c r="C376">
        <v>207.13</v>
      </c>
      <c r="D376">
        <v>3</v>
      </c>
      <c r="E376" s="2" t="s">
        <v>8</v>
      </c>
      <c r="F376" s="2" t="s">
        <v>17</v>
      </c>
      <c r="G376" s="2" t="s">
        <v>10</v>
      </c>
      <c r="H376" s="2" t="s">
        <v>15</v>
      </c>
      <c r="I376" s="2">
        <f t="shared" si="10"/>
        <v>519.51</v>
      </c>
      <c r="J376" s="2">
        <f t="shared" si="11"/>
        <v>2.5081349876888912</v>
      </c>
    </row>
    <row r="377" spans="1:10" x14ac:dyDescent="0.3">
      <c r="A377" s="1">
        <v>45370</v>
      </c>
      <c r="B377">
        <v>632.98</v>
      </c>
      <c r="C377">
        <v>177.58</v>
      </c>
      <c r="D377">
        <v>1</v>
      </c>
      <c r="E377" s="2" t="s">
        <v>8</v>
      </c>
      <c r="F377" s="2" t="s">
        <v>17</v>
      </c>
      <c r="G377" s="2" t="s">
        <v>10</v>
      </c>
      <c r="H377" s="2" t="s">
        <v>11</v>
      </c>
      <c r="I377" s="2">
        <f t="shared" si="10"/>
        <v>455.4</v>
      </c>
      <c r="J377" s="2">
        <f t="shared" si="11"/>
        <v>2.5644779817547017</v>
      </c>
    </row>
    <row r="378" spans="1:10" x14ac:dyDescent="0.3">
      <c r="A378" s="1">
        <v>45352</v>
      </c>
      <c r="B378">
        <v>485.77</v>
      </c>
      <c r="C378">
        <v>216.6</v>
      </c>
      <c r="D378">
        <v>10</v>
      </c>
      <c r="E378" s="2" t="s">
        <v>16</v>
      </c>
      <c r="F378" s="2" t="s">
        <v>17</v>
      </c>
      <c r="G378" s="2" t="s">
        <v>14</v>
      </c>
      <c r="H378" s="2" t="s">
        <v>18</v>
      </c>
      <c r="I378" s="2">
        <f t="shared" si="10"/>
        <v>269.16999999999996</v>
      </c>
      <c r="J378" s="2">
        <f t="shared" si="11"/>
        <v>1.2427054478301014</v>
      </c>
    </row>
    <row r="379" spans="1:10" x14ac:dyDescent="0.3">
      <c r="A379" s="1">
        <v>45386</v>
      </c>
      <c r="B379">
        <v>1337</v>
      </c>
      <c r="C379">
        <v>26.97</v>
      </c>
      <c r="D379">
        <v>6</v>
      </c>
      <c r="E379" s="2" t="s">
        <v>16</v>
      </c>
      <c r="F379" s="2" t="s">
        <v>17</v>
      </c>
      <c r="G379" s="2" t="s">
        <v>12</v>
      </c>
      <c r="H379" s="2" t="s">
        <v>18</v>
      </c>
      <c r="I379" s="2">
        <f t="shared" si="10"/>
        <v>1310.03</v>
      </c>
      <c r="J379" s="2">
        <f t="shared" si="11"/>
        <v>48.573600296625884</v>
      </c>
    </row>
    <row r="380" spans="1:10" x14ac:dyDescent="0.3">
      <c r="A380" s="1">
        <v>45349</v>
      </c>
      <c r="B380">
        <v>725.91</v>
      </c>
      <c r="C380">
        <v>455.72</v>
      </c>
      <c r="D380">
        <v>3</v>
      </c>
      <c r="E380" s="2" t="s">
        <v>8</v>
      </c>
      <c r="F380" s="2" t="s">
        <v>17</v>
      </c>
      <c r="G380" s="2" t="s">
        <v>19</v>
      </c>
      <c r="H380" s="2" t="s">
        <v>18</v>
      </c>
      <c r="I380" s="2">
        <f t="shared" si="10"/>
        <v>270.18999999999994</v>
      </c>
      <c r="J380" s="2">
        <f t="shared" si="11"/>
        <v>0.59288598262090741</v>
      </c>
    </row>
    <row r="381" spans="1:10" x14ac:dyDescent="0.3">
      <c r="A381" s="1">
        <v>45345</v>
      </c>
      <c r="B381">
        <v>83.18</v>
      </c>
      <c r="C381">
        <v>412.42</v>
      </c>
      <c r="D381">
        <v>0</v>
      </c>
      <c r="E381" s="2" t="s">
        <v>16</v>
      </c>
      <c r="F381" s="2" t="s">
        <v>9</v>
      </c>
      <c r="G381" s="2" t="s">
        <v>19</v>
      </c>
      <c r="H381" s="2" t="s">
        <v>18</v>
      </c>
      <c r="I381" s="2">
        <f t="shared" si="10"/>
        <v>-329.24</v>
      </c>
      <c r="J381" s="2">
        <f t="shared" si="11"/>
        <v>-0.79831239998060233</v>
      </c>
    </row>
    <row r="382" spans="1:10" x14ac:dyDescent="0.3">
      <c r="A382" s="1">
        <v>45398</v>
      </c>
      <c r="B382">
        <v>953.59</v>
      </c>
      <c r="C382">
        <v>110.33</v>
      </c>
      <c r="D382">
        <v>1</v>
      </c>
      <c r="E382" s="2" t="s">
        <v>13</v>
      </c>
      <c r="F382" s="2" t="s">
        <v>9</v>
      </c>
      <c r="G382" s="2" t="s">
        <v>19</v>
      </c>
      <c r="H382" s="2" t="s">
        <v>20</v>
      </c>
      <c r="I382" s="2">
        <f t="shared" si="10"/>
        <v>843.26</v>
      </c>
      <c r="J382" s="2">
        <f t="shared" si="11"/>
        <v>7.6430707876370887</v>
      </c>
    </row>
    <row r="383" spans="1:10" x14ac:dyDescent="0.3">
      <c r="A383" s="1">
        <v>45301</v>
      </c>
      <c r="B383">
        <v>1347.35</v>
      </c>
      <c r="C383">
        <v>278.19</v>
      </c>
      <c r="D383">
        <v>10</v>
      </c>
      <c r="E383" s="2" t="s">
        <v>8</v>
      </c>
      <c r="F383" s="2" t="s">
        <v>9</v>
      </c>
      <c r="G383" s="2" t="s">
        <v>19</v>
      </c>
      <c r="H383" s="2" t="s">
        <v>20</v>
      </c>
      <c r="I383" s="2">
        <f t="shared" si="10"/>
        <v>1069.1599999999999</v>
      </c>
      <c r="J383" s="2">
        <f t="shared" si="11"/>
        <v>3.8432725834861063</v>
      </c>
    </row>
    <row r="384" spans="1:10" x14ac:dyDescent="0.3">
      <c r="A384" s="1">
        <v>45331</v>
      </c>
      <c r="B384">
        <v>411.75</v>
      </c>
      <c r="C384">
        <v>186.59</v>
      </c>
      <c r="D384">
        <v>4</v>
      </c>
      <c r="E384" s="2" t="s">
        <v>16</v>
      </c>
      <c r="F384" s="2" t="s">
        <v>17</v>
      </c>
      <c r="G384" s="2" t="s">
        <v>19</v>
      </c>
      <c r="H384" s="2" t="s">
        <v>11</v>
      </c>
      <c r="I384" s="2">
        <f t="shared" si="10"/>
        <v>225.16</v>
      </c>
      <c r="J384" s="2">
        <f t="shared" si="11"/>
        <v>1.206709898708398</v>
      </c>
    </row>
    <row r="385" spans="1:10" x14ac:dyDescent="0.3">
      <c r="A385" s="1">
        <v>45363</v>
      </c>
      <c r="B385">
        <v>1144.51</v>
      </c>
      <c r="C385">
        <v>498.46</v>
      </c>
      <c r="D385">
        <v>8</v>
      </c>
      <c r="E385" s="2" t="s">
        <v>16</v>
      </c>
      <c r="F385" s="2" t="s">
        <v>17</v>
      </c>
      <c r="G385" s="2" t="s">
        <v>19</v>
      </c>
      <c r="H385" s="2" t="s">
        <v>18</v>
      </c>
      <c r="I385" s="2">
        <f t="shared" si="10"/>
        <v>646.04999999999995</v>
      </c>
      <c r="J385" s="2">
        <f t="shared" si="11"/>
        <v>1.2960919632468002</v>
      </c>
    </row>
    <row r="386" spans="1:10" x14ac:dyDescent="0.3">
      <c r="A386" s="1">
        <v>45349</v>
      </c>
      <c r="B386">
        <v>108.8</v>
      </c>
      <c r="C386">
        <v>166.59</v>
      </c>
      <c r="D386">
        <v>7</v>
      </c>
      <c r="E386" s="2" t="s">
        <v>16</v>
      </c>
      <c r="F386" s="2" t="s">
        <v>17</v>
      </c>
      <c r="G386" s="2" t="s">
        <v>19</v>
      </c>
      <c r="H386" s="2" t="s">
        <v>18</v>
      </c>
      <c r="I386" s="2">
        <f t="shared" ref="I386:I449" si="12">B386-C386</f>
        <v>-57.790000000000006</v>
      </c>
      <c r="J386" s="2">
        <f t="shared" ref="J386:J449" si="13">IF(C386=0,0,I386/C386)</f>
        <v>-0.34689957380394987</v>
      </c>
    </row>
    <row r="387" spans="1:10" x14ac:dyDescent="0.3">
      <c r="A387" s="1">
        <v>45313</v>
      </c>
      <c r="B387">
        <v>1147.01</v>
      </c>
      <c r="C387">
        <v>445.39</v>
      </c>
      <c r="D387">
        <v>8</v>
      </c>
      <c r="E387" s="2" t="s">
        <v>16</v>
      </c>
      <c r="F387" s="2" t="s">
        <v>17</v>
      </c>
      <c r="G387" s="2" t="s">
        <v>14</v>
      </c>
      <c r="H387" s="2" t="s">
        <v>11</v>
      </c>
      <c r="I387" s="2">
        <f t="shared" si="12"/>
        <v>701.62</v>
      </c>
      <c r="J387" s="2">
        <f t="shared" si="13"/>
        <v>1.575293562944835</v>
      </c>
    </row>
    <row r="388" spans="1:10" x14ac:dyDescent="0.3">
      <c r="A388" s="1">
        <v>45363</v>
      </c>
      <c r="B388">
        <v>65.94</v>
      </c>
      <c r="C388">
        <v>54.63</v>
      </c>
      <c r="D388">
        <v>10</v>
      </c>
      <c r="E388" s="2" t="s">
        <v>8</v>
      </c>
      <c r="F388" s="2" t="s">
        <v>9</v>
      </c>
      <c r="G388" s="2" t="s">
        <v>19</v>
      </c>
      <c r="H388" s="2" t="s">
        <v>18</v>
      </c>
      <c r="I388" s="2">
        <f t="shared" si="12"/>
        <v>11.309999999999995</v>
      </c>
      <c r="J388" s="2">
        <f t="shared" si="13"/>
        <v>0.2070291048874244</v>
      </c>
    </row>
    <row r="389" spans="1:10" x14ac:dyDescent="0.3">
      <c r="A389" s="1">
        <v>45410</v>
      </c>
      <c r="B389">
        <v>1198.3599999999999</v>
      </c>
      <c r="C389">
        <v>238.34</v>
      </c>
      <c r="D389">
        <v>1</v>
      </c>
      <c r="E389" s="2" t="s">
        <v>8</v>
      </c>
      <c r="F389" s="2" t="s">
        <v>17</v>
      </c>
      <c r="G389" s="2" t="s">
        <v>19</v>
      </c>
      <c r="H389" s="2" t="s">
        <v>20</v>
      </c>
      <c r="I389" s="2">
        <f t="shared" si="12"/>
        <v>960.01999999999987</v>
      </c>
      <c r="J389" s="2">
        <f t="shared" si="13"/>
        <v>4.0279432743140049</v>
      </c>
    </row>
    <row r="390" spans="1:10" x14ac:dyDescent="0.3">
      <c r="A390" s="1">
        <v>45345</v>
      </c>
      <c r="B390">
        <v>774.51</v>
      </c>
      <c r="C390">
        <v>174.6</v>
      </c>
      <c r="D390">
        <v>7</v>
      </c>
      <c r="E390" s="2" t="s">
        <v>13</v>
      </c>
      <c r="F390" s="2" t="s">
        <v>9</v>
      </c>
      <c r="G390" s="2" t="s">
        <v>12</v>
      </c>
      <c r="H390" s="2" t="s">
        <v>18</v>
      </c>
      <c r="I390" s="2">
        <f t="shared" si="12"/>
        <v>599.91</v>
      </c>
      <c r="J390" s="2">
        <f t="shared" si="13"/>
        <v>3.435910652920962</v>
      </c>
    </row>
    <row r="391" spans="1:10" x14ac:dyDescent="0.3">
      <c r="A391" s="1">
        <v>45373</v>
      </c>
      <c r="B391">
        <v>321.8</v>
      </c>
      <c r="C391">
        <v>219.14</v>
      </c>
      <c r="D391">
        <v>1</v>
      </c>
      <c r="E391" s="2" t="s">
        <v>13</v>
      </c>
      <c r="F391" s="2" t="s">
        <v>17</v>
      </c>
      <c r="G391" s="2" t="s">
        <v>19</v>
      </c>
      <c r="H391" s="2" t="s">
        <v>20</v>
      </c>
      <c r="I391" s="2">
        <f t="shared" si="12"/>
        <v>102.66000000000003</v>
      </c>
      <c r="J391" s="2">
        <f t="shared" si="13"/>
        <v>0.46846764625353671</v>
      </c>
    </row>
    <row r="392" spans="1:10" x14ac:dyDescent="0.3">
      <c r="A392" s="1">
        <v>45337</v>
      </c>
      <c r="B392">
        <v>77.2</v>
      </c>
      <c r="C392">
        <v>205.63</v>
      </c>
      <c r="D392">
        <v>5</v>
      </c>
      <c r="E392" s="2" t="s">
        <v>16</v>
      </c>
      <c r="F392" s="2" t="s">
        <v>17</v>
      </c>
      <c r="G392" s="2" t="s">
        <v>10</v>
      </c>
      <c r="H392" s="2" t="s">
        <v>18</v>
      </c>
      <c r="I392" s="2">
        <f t="shared" si="12"/>
        <v>-128.43</v>
      </c>
      <c r="J392" s="2">
        <f t="shared" si="13"/>
        <v>-0.62456839955259447</v>
      </c>
    </row>
    <row r="393" spans="1:10" x14ac:dyDescent="0.3">
      <c r="A393" s="1">
        <v>45400</v>
      </c>
      <c r="B393">
        <v>1227.43</v>
      </c>
      <c r="C393">
        <v>386.35</v>
      </c>
      <c r="D393">
        <v>0</v>
      </c>
      <c r="E393" s="2" t="s">
        <v>13</v>
      </c>
      <c r="F393" s="2" t="s">
        <v>17</v>
      </c>
      <c r="G393" s="2" t="s">
        <v>19</v>
      </c>
      <c r="H393" s="2" t="s">
        <v>20</v>
      </c>
      <c r="I393" s="2">
        <f t="shared" si="12"/>
        <v>841.08</v>
      </c>
      <c r="J393" s="2">
        <f t="shared" si="13"/>
        <v>2.1769897761097452</v>
      </c>
    </row>
    <row r="394" spans="1:10" x14ac:dyDescent="0.3">
      <c r="A394" s="1">
        <v>45292</v>
      </c>
      <c r="B394">
        <v>1465.81</v>
      </c>
      <c r="C394">
        <v>195.01</v>
      </c>
      <c r="D394">
        <v>10</v>
      </c>
      <c r="E394" s="2" t="s">
        <v>8</v>
      </c>
      <c r="F394" s="2" t="s">
        <v>17</v>
      </c>
      <c r="G394" s="2" t="s">
        <v>10</v>
      </c>
      <c r="H394" s="2" t="s">
        <v>15</v>
      </c>
      <c r="I394" s="2">
        <f t="shared" si="12"/>
        <v>1270.8</v>
      </c>
      <c r="J394" s="2">
        <f t="shared" si="13"/>
        <v>6.5165888928772882</v>
      </c>
    </row>
    <row r="395" spans="1:10" x14ac:dyDescent="0.3">
      <c r="A395" s="1">
        <v>45367</v>
      </c>
      <c r="B395">
        <v>646.54999999999995</v>
      </c>
      <c r="C395">
        <v>351.16</v>
      </c>
      <c r="D395">
        <v>6</v>
      </c>
      <c r="E395" s="2" t="s">
        <v>16</v>
      </c>
      <c r="F395" s="2" t="s">
        <v>17</v>
      </c>
      <c r="G395" s="2" t="s">
        <v>19</v>
      </c>
      <c r="H395" s="2" t="s">
        <v>15</v>
      </c>
      <c r="I395" s="2">
        <f t="shared" si="12"/>
        <v>295.38999999999993</v>
      </c>
      <c r="J395" s="2">
        <f t="shared" si="13"/>
        <v>0.84118350609408787</v>
      </c>
    </row>
    <row r="396" spans="1:10" x14ac:dyDescent="0.3">
      <c r="A396" s="1">
        <v>45292</v>
      </c>
      <c r="B396">
        <v>784.6</v>
      </c>
      <c r="C396">
        <v>159.51</v>
      </c>
      <c r="D396">
        <v>8</v>
      </c>
      <c r="E396" s="2" t="s">
        <v>13</v>
      </c>
      <c r="F396" s="2" t="s">
        <v>9</v>
      </c>
      <c r="G396" s="2" t="s">
        <v>10</v>
      </c>
      <c r="H396" s="2" t="s">
        <v>20</v>
      </c>
      <c r="I396" s="2">
        <f t="shared" si="12"/>
        <v>625.09</v>
      </c>
      <c r="J396" s="2">
        <f t="shared" si="13"/>
        <v>3.9188138674691246</v>
      </c>
    </row>
    <row r="397" spans="1:10" x14ac:dyDescent="0.3">
      <c r="A397" s="1">
        <v>45316</v>
      </c>
      <c r="B397">
        <v>1430.38</v>
      </c>
      <c r="C397">
        <v>250.95</v>
      </c>
      <c r="D397">
        <v>0</v>
      </c>
      <c r="E397" s="2" t="s">
        <v>8</v>
      </c>
      <c r="F397" s="2" t="s">
        <v>9</v>
      </c>
      <c r="G397" s="2" t="s">
        <v>19</v>
      </c>
      <c r="H397" s="2" t="s">
        <v>15</v>
      </c>
      <c r="I397" s="2">
        <f t="shared" si="12"/>
        <v>1179.43</v>
      </c>
      <c r="J397" s="2">
        <f t="shared" si="13"/>
        <v>4.6998605299860534</v>
      </c>
    </row>
    <row r="398" spans="1:10" x14ac:dyDescent="0.3">
      <c r="A398" s="1">
        <v>45388</v>
      </c>
      <c r="B398">
        <v>1125.6500000000001</v>
      </c>
      <c r="C398">
        <v>416.29</v>
      </c>
      <c r="D398">
        <v>9</v>
      </c>
      <c r="E398" s="2" t="s">
        <v>8</v>
      </c>
      <c r="F398" s="2" t="s">
        <v>9</v>
      </c>
      <c r="G398" s="2" t="s">
        <v>12</v>
      </c>
      <c r="H398" s="2" t="s">
        <v>20</v>
      </c>
      <c r="I398" s="2">
        <f t="shared" si="12"/>
        <v>709.36000000000013</v>
      </c>
      <c r="J398" s="2">
        <f t="shared" si="13"/>
        <v>1.7040044199956763</v>
      </c>
    </row>
    <row r="399" spans="1:10" x14ac:dyDescent="0.3">
      <c r="A399" s="1">
        <v>45402</v>
      </c>
      <c r="B399">
        <v>913.94</v>
      </c>
      <c r="C399">
        <v>95.9</v>
      </c>
      <c r="D399">
        <v>0</v>
      </c>
      <c r="E399" s="2" t="s">
        <v>13</v>
      </c>
      <c r="F399" s="2" t="s">
        <v>9</v>
      </c>
      <c r="G399" s="2" t="s">
        <v>12</v>
      </c>
      <c r="H399" s="2" t="s">
        <v>15</v>
      </c>
      <c r="I399" s="2">
        <f t="shared" si="12"/>
        <v>818.04000000000008</v>
      </c>
      <c r="J399" s="2">
        <f t="shared" si="13"/>
        <v>8.530135557872784</v>
      </c>
    </row>
    <row r="400" spans="1:10" x14ac:dyDescent="0.3">
      <c r="A400" s="1">
        <v>45397</v>
      </c>
      <c r="B400">
        <v>632.9</v>
      </c>
      <c r="C400">
        <v>330.85</v>
      </c>
      <c r="D400">
        <v>2</v>
      </c>
      <c r="E400" s="2" t="s">
        <v>8</v>
      </c>
      <c r="F400" s="2" t="s">
        <v>9</v>
      </c>
      <c r="G400" s="2" t="s">
        <v>10</v>
      </c>
      <c r="H400" s="2" t="s">
        <v>11</v>
      </c>
      <c r="I400" s="2">
        <f t="shared" si="12"/>
        <v>302.04999999999995</v>
      </c>
      <c r="J400" s="2">
        <f t="shared" si="13"/>
        <v>0.91295148858999531</v>
      </c>
    </row>
    <row r="401" spans="1:10" x14ac:dyDescent="0.3">
      <c r="A401" s="1">
        <v>45311</v>
      </c>
      <c r="B401">
        <v>247.94</v>
      </c>
      <c r="C401">
        <v>392.09</v>
      </c>
      <c r="D401">
        <v>0</v>
      </c>
      <c r="E401" s="2" t="s">
        <v>8</v>
      </c>
      <c r="F401" s="2" t="s">
        <v>9</v>
      </c>
      <c r="G401" s="2" t="s">
        <v>14</v>
      </c>
      <c r="H401" s="2" t="s">
        <v>18</v>
      </c>
      <c r="I401" s="2">
        <f t="shared" si="12"/>
        <v>-144.14999999999998</v>
      </c>
      <c r="J401" s="2">
        <f t="shared" si="13"/>
        <v>-0.36764518350378739</v>
      </c>
    </row>
    <row r="402" spans="1:10" x14ac:dyDescent="0.3">
      <c r="A402" s="1">
        <v>45306</v>
      </c>
      <c r="B402">
        <v>975.1</v>
      </c>
      <c r="C402">
        <v>307.92</v>
      </c>
      <c r="D402">
        <v>10</v>
      </c>
      <c r="E402" s="2" t="s">
        <v>13</v>
      </c>
      <c r="F402" s="2" t="s">
        <v>17</v>
      </c>
      <c r="G402" s="2" t="s">
        <v>12</v>
      </c>
      <c r="H402" s="2" t="s">
        <v>15</v>
      </c>
      <c r="I402" s="2">
        <f t="shared" si="12"/>
        <v>667.18000000000006</v>
      </c>
      <c r="J402" s="2">
        <f t="shared" si="13"/>
        <v>2.1667316186022343</v>
      </c>
    </row>
    <row r="403" spans="1:10" x14ac:dyDescent="0.3">
      <c r="A403" s="1">
        <v>45331</v>
      </c>
      <c r="B403">
        <v>525.38</v>
      </c>
      <c r="C403">
        <v>201.93</v>
      </c>
      <c r="D403">
        <v>2</v>
      </c>
      <c r="E403" s="2" t="s">
        <v>16</v>
      </c>
      <c r="F403" s="2" t="s">
        <v>17</v>
      </c>
      <c r="G403" s="2" t="s">
        <v>10</v>
      </c>
      <c r="H403" s="2" t="s">
        <v>20</v>
      </c>
      <c r="I403" s="2">
        <f t="shared" si="12"/>
        <v>323.45</v>
      </c>
      <c r="J403" s="2">
        <f t="shared" si="13"/>
        <v>1.6017927004407466</v>
      </c>
    </row>
    <row r="404" spans="1:10" x14ac:dyDescent="0.3">
      <c r="A404" s="1">
        <v>45404</v>
      </c>
      <c r="B404">
        <v>1076.97</v>
      </c>
      <c r="C404">
        <v>430.52</v>
      </c>
      <c r="D404">
        <v>10</v>
      </c>
      <c r="E404" s="2" t="s">
        <v>16</v>
      </c>
      <c r="F404" s="2" t="s">
        <v>17</v>
      </c>
      <c r="G404" s="2" t="s">
        <v>12</v>
      </c>
      <c r="H404" s="2" t="s">
        <v>15</v>
      </c>
      <c r="I404" s="2">
        <f t="shared" si="12"/>
        <v>646.45000000000005</v>
      </c>
      <c r="J404" s="2">
        <f t="shared" si="13"/>
        <v>1.5015562575490107</v>
      </c>
    </row>
    <row r="405" spans="1:10" x14ac:dyDescent="0.3">
      <c r="A405" s="1">
        <v>45379</v>
      </c>
      <c r="B405">
        <v>730.65</v>
      </c>
      <c r="C405">
        <v>472.39</v>
      </c>
      <c r="D405">
        <v>4</v>
      </c>
      <c r="E405" s="2" t="s">
        <v>13</v>
      </c>
      <c r="F405" s="2" t="s">
        <v>9</v>
      </c>
      <c r="G405" s="2" t="s">
        <v>14</v>
      </c>
      <c r="H405" s="2" t="s">
        <v>11</v>
      </c>
      <c r="I405" s="2">
        <f t="shared" si="12"/>
        <v>258.26</v>
      </c>
      <c r="J405" s="2">
        <f t="shared" si="13"/>
        <v>0.54670928681809516</v>
      </c>
    </row>
    <row r="406" spans="1:10" x14ac:dyDescent="0.3">
      <c r="A406" s="1">
        <v>45405</v>
      </c>
      <c r="B406">
        <v>1248.76</v>
      </c>
      <c r="C406">
        <v>75.48</v>
      </c>
      <c r="D406">
        <v>4</v>
      </c>
      <c r="E406" s="2" t="s">
        <v>8</v>
      </c>
      <c r="F406" s="2" t="s">
        <v>9</v>
      </c>
      <c r="G406" s="2" t="s">
        <v>19</v>
      </c>
      <c r="H406" s="2" t="s">
        <v>11</v>
      </c>
      <c r="I406" s="2">
        <f t="shared" si="12"/>
        <v>1173.28</v>
      </c>
      <c r="J406" s="2">
        <f t="shared" si="13"/>
        <v>15.544250132485425</v>
      </c>
    </row>
    <row r="407" spans="1:10" x14ac:dyDescent="0.3">
      <c r="A407" s="1">
        <v>45360</v>
      </c>
      <c r="B407">
        <v>1145.46</v>
      </c>
      <c r="C407">
        <v>378.91</v>
      </c>
      <c r="D407">
        <v>1</v>
      </c>
      <c r="E407" s="2" t="s">
        <v>8</v>
      </c>
      <c r="F407" s="2" t="s">
        <v>17</v>
      </c>
      <c r="G407" s="2" t="s">
        <v>12</v>
      </c>
      <c r="H407" s="2" t="s">
        <v>15</v>
      </c>
      <c r="I407" s="2">
        <f t="shared" si="12"/>
        <v>766.55</v>
      </c>
      <c r="J407" s="2">
        <f t="shared" si="13"/>
        <v>2.0230397719775142</v>
      </c>
    </row>
    <row r="408" spans="1:10" x14ac:dyDescent="0.3">
      <c r="A408" s="1">
        <v>45407</v>
      </c>
      <c r="B408">
        <v>341.66</v>
      </c>
      <c r="C408">
        <v>48</v>
      </c>
      <c r="D408">
        <v>1</v>
      </c>
      <c r="E408" s="2" t="s">
        <v>13</v>
      </c>
      <c r="F408" s="2" t="s">
        <v>9</v>
      </c>
      <c r="G408" s="2" t="s">
        <v>10</v>
      </c>
      <c r="H408" s="2" t="s">
        <v>15</v>
      </c>
      <c r="I408" s="2">
        <f t="shared" si="12"/>
        <v>293.66000000000003</v>
      </c>
      <c r="J408" s="2">
        <f t="shared" si="13"/>
        <v>6.1179166666666669</v>
      </c>
    </row>
    <row r="409" spans="1:10" x14ac:dyDescent="0.3">
      <c r="A409" s="1">
        <v>45373</v>
      </c>
      <c r="B409">
        <v>898.8</v>
      </c>
      <c r="C409">
        <v>406.16</v>
      </c>
      <c r="D409">
        <v>9</v>
      </c>
      <c r="E409" s="2" t="s">
        <v>13</v>
      </c>
      <c r="F409" s="2" t="s">
        <v>17</v>
      </c>
      <c r="G409" s="2" t="s">
        <v>12</v>
      </c>
      <c r="H409" s="2" t="s">
        <v>18</v>
      </c>
      <c r="I409" s="2">
        <f t="shared" si="12"/>
        <v>492.63999999999993</v>
      </c>
      <c r="J409" s="2">
        <f t="shared" si="13"/>
        <v>1.2129210163482369</v>
      </c>
    </row>
    <row r="410" spans="1:10" x14ac:dyDescent="0.3">
      <c r="A410" s="1">
        <v>45379</v>
      </c>
      <c r="B410">
        <v>913.16</v>
      </c>
      <c r="C410">
        <v>26.22</v>
      </c>
      <c r="D410">
        <v>7</v>
      </c>
      <c r="E410" s="2" t="s">
        <v>13</v>
      </c>
      <c r="F410" s="2" t="s">
        <v>17</v>
      </c>
      <c r="G410" s="2" t="s">
        <v>19</v>
      </c>
      <c r="H410" s="2" t="s">
        <v>18</v>
      </c>
      <c r="I410" s="2">
        <f t="shared" si="12"/>
        <v>886.93999999999994</v>
      </c>
      <c r="J410" s="2">
        <f t="shared" si="13"/>
        <v>33.826849733028219</v>
      </c>
    </row>
    <row r="411" spans="1:10" x14ac:dyDescent="0.3">
      <c r="A411" s="1">
        <v>45406</v>
      </c>
      <c r="B411">
        <v>1030.03</v>
      </c>
      <c r="C411">
        <v>260.97000000000003</v>
      </c>
      <c r="D411">
        <v>2</v>
      </c>
      <c r="E411" s="2" t="s">
        <v>16</v>
      </c>
      <c r="F411" s="2" t="s">
        <v>9</v>
      </c>
      <c r="G411" s="2" t="s">
        <v>14</v>
      </c>
      <c r="H411" s="2" t="s">
        <v>11</v>
      </c>
      <c r="I411" s="2">
        <f t="shared" si="12"/>
        <v>769.06</v>
      </c>
      <c r="J411" s="2">
        <f t="shared" si="13"/>
        <v>2.9469287657585159</v>
      </c>
    </row>
    <row r="412" spans="1:10" x14ac:dyDescent="0.3">
      <c r="A412" s="1">
        <v>45337</v>
      </c>
      <c r="B412">
        <v>1284.98</v>
      </c>
      <c r="C412">
        <v>21.3</v>
      </c>
      <c r="D412">
        <v>5</v>
      </c>
      <c r="E412" s="2" t="s">
        <v>8</v>
      </c>
      <c r="F412" s="2" t="s">
        <v>17</v>
      </c>
      <c r="G412" s="2" t="s">
        <v>19</v>
      </c>
      <c r="H412" s="2" t="s">
        <v>18</v>
      </c>
      <c r="I412" s="2">
        <f t="shared" si="12"/>
        <v>1263.68</v>
      </c>
      <c r="J412" s="2">
        <f t="shared" si="13"/>
        <v>59.327699530516433</v>
      </c>
    </row>
    <row r="413" spans="1:10" x14ac:dyDescent="0.3">
      <c r="A413" s="1">
        <v>45307</v>
      </c>
      <c r="B413">
        <v>317.41000000000003</v>
      </c>
      <c r="C413">
        <v>75.69</v>
      </c>
      <c r="D413">
        <v>1</v>
      </c>
      <c r="E413" s="2" t="s">
        <v>16</v>
      </c>
      <c r="F413" s="2" t="s">
        <v>17</v>
      </c>
      <c r="G413" s="2" t="s">
        <v>12</v>
      </c>
      <c r="H413" s="2" t="s">
        <v>11</v>
      </c>
      <c r="I413" s="2">
        <f t="shared" si="12"/>
        <v>241.72000000000003</v>
      </c>
      <c r="J413" s="2">
        <f t="shared" si="13"/>
        <v>3.1935526489628754</v>
      </c>
    </row>
    <row r="414" spans="1:10" x14ac:dyDescent="0.3">
      <c r="A414" s="1">
        <v>45400</v>
      </c>
      <c r="B414">
        <v>556.08000000000004</v>
      </c>
      <c r="C414">
        <v>263.43</v>
      </c>
      <c r="D414">
        <v>7</v>
      </c>
      <c r="E414" s="2" t="s">
        <v>8</v>
      </c>
      <c r="F414" s="2" t="s">
        <v>9</v>
      </c>
      <c r="G414" s="2" t="s">
        <v>14</v>
      </c>
      <c r="H414" s="2" t="s">
        <v>11</v>
      </c>
      <c r="I414" s="2">
        <f t="shared" si="12"/>
        <v>292.65000000000003</v>
      </c>
      <c r="J414" s="2">
        <f t="shared" si="13"/>
        <v>1.1109213073681814</v>
      </c>
    </row>
    <row r="415" spans="1:10" x14ac:dyDescent="0.3">
      <c r="A415" s="1">
        <v>45395</v>
      </c>
      <c r="B415">
        <v>752.47</v>
      </c>
      <c r="C415">
        <v>154.34</v>
      </c>
      <c r="D415">
        <v>5</v>
      </c>
      <c r="E415" s="2" t="s">
        <v>8</v>
      </c>
      <c r="F415" s="2" t="s">
        <v>9</v>
      </c>
      <c r="G415" s="2" t="s">
        <v>14</v>
      </c>
      <c r="H415" s="2" t="s">
        <v>15</v>
      </c>
      <c r="I415" s="2">
        <f t="shared" si="12"/>
        <v>598.13</v>
      </c>
      <c r="J415" s="2">
        <f t="shared" si="13"/>
        <v>3.8754049501101462</v>
      </c>
    </row>
    <row r="416" spans="1:10" x14ac:dyDescent="0.3">
      <c r="A416" s="1">
        <v>45351</v>
      </c>
      <c r="B416">
        <v>455.73</v>
      </c>
      <c r="C416">
        <v>153.57</v>
      </c>
      <c r="D416">
        <v>3</v>
      </c>
      <c r="E416" s="2" t="s">
        <v>8</v>
      </c>
      <c r="F416" s="2" t="s">
        <v>17</v>
      </c>
      <c r="G416" s="2" t="s">
        <v>12</v>
      </c>
      <c r="H416" s="2" t="s">
        <v>18</v>
      </c>
      <c r="I416" s="2">
        <f t="shared" si="12"/>
        <v>302.16000000000003</v>
      </c>
      <c r="J416" s="2">
        <f t="shared" si="13"/>
        <v>1.9675717913655013</v>
      </c>
    </row>
    <row r="417" spans="1:10" x14ac:dyDescent="0.3">
      <c r="A417" s="1">
        <v>45336</v>
      </c>
      <c r="B417">
        <v>1220.58</v>
      </c>
      <c r="C417">
        <v>80.650000000000006</v>
      </c>
      <c r="D417">
        <v>2</v>
      </c>
      <c r="E417" s="2" t="s">
        <v>16</v>
      </c>
      <c r="F417" s="2" t="s">
        <v>17</v>
      </c>
      <c r="G417" s="2" t="s">
        <v>19</v>
      </c>
      <c r="H417" s="2" t="s">
        <v>15</v>
      </c>
      <c r="I417" s="2">
        <f t="shared" si="12"/>
        <v>1139.9299999999998</v>
      </c>
      <c r="J417" s="2">
        <f t="shared" si="13"/>
        <v>14.134283942963419</v>
      </c>
    </row>
    <row r="418" spans="1:10" x14ac:dyDescent="0.3">
      <c r="A418" s="1">
        <v>45341</v>
      </c>
      <c r="B418">
        <v>617.58000000000004</v>
      </c>
      <c r="C418">
        <v>379.95</v>
      </c>
      <c r="D418">
        <v>10</v>
      </c>
      <c r="E418" s="2" t="s">
        <v>8</v>
      </c>
      <c r="F418" s="2" t="s">
        <v>9</v>
      </c>
      <c r="G418" s="2" t="s">
        <v>19</v>
      </c>
      <c r="H418" s="2" t="s">
        <v>11</v>
      </c>
      <c r="I418" s="2">
        <f t="shared" si="12"/>
        <v>237.63000000000005</v>
      </c>
      <c r="J418" s="2">
        <f t="shared" si="13"/>
        <v>0.62542439794709848</v>
      </c>
    </row>
    <row r="419" spans="1:10" x14ac:dyDescent="0.3">
      <c r="A419" s="1">
        <v>45407</v>
      </c>
      <c r="B419">
        <v>1183.05</v>
      </c>
      <c r="C419">
        <v>366.88</v>
      </c>
      <c r="D419">
        <v>4</v>
      </c>
      <c r="E419" s="2" t="s">
        <v>8</v>
      </c>
      <c r="F419" s="2" t="s">
        <v>9</v>
      </c>
      <c r="G419" s="2" t="s">
        <v>19</v>
      </c>
      <c r="H419" s="2" t="s">
        <v>18</v>
      </c>
      <c r="I419" s="2">
        <f t="shared" si="12"/>
        <v>816.17</v>
      </c>
      <c r="J419" s="2">
        <f t="shared" si="13"/>
        <v>2.2246238552115134</v>
      </c>
    </row>
    <row r="420" spans="1:10" x14ac:dyDescent="0.3">
      <c r="A420" s="1">
        <v>45393</v>
      </c>
      <c r="B420">
        <v>68.39</v>
      </c>
      <c r="C420">
        <v>149.12</v>
      </c>
      <c r="D420">
        <v>9</v>
      </c>
      <c r="E420" s="2" t="s">
        <v>16</v>
      </c>
      <c r="F420" s="2" t="s">
        <v>17</v>
      </c>
      <c r="G420" s="2" t="s">
        <v>14</v>
      </c>
      <c r="H420" s="2" t="s">
        <v>18</v>
      </c>
      <c r="I420" s="2">
        <f t="shared" si="12"/>
        <v>-80.73</v>
      </c>
      <c r="J420" s="2">
        <f t="shared" si="13"/>
        <v>-0.54137607296137336</v>
      </c>
    </row>
    <row r="421" spans="1:10" x14ac:dyDescent="0.3">
      <c r="A421" s="1">
        <v>45342</v>
      </c>
      <c r="B421">
        <v>574.03</v>
      </c>
      <c r="C421">
        <v>351.99</v>
      </c>
      <c r="D421">
        <v>2</v>
      </c>
      <c r="E421" s="2" t="s">
        <v>8</v>
      </c>
      <c r="F421" s="2" t="s">
        <v>9</v>
      </c>
      <c r="G421" s="2" t="s">
        <v>10</v>
      </c>
      <c r="H421" s="2" t="s">
        <v>18</v>
      </c>
      <c r="I421" s="2">
        <f t="shared" si="12"/>
        <v>222.03999999999996</v>
      </c>
      <c r="J421" s="2">
        <f t="shared" si="13"/>
        <v>0.63081337537998228</v>
      </c>
    </row>
    <row r="422" spans="1:10" x14ac:dyDescent="0.3">
      <c r="A422" s="1">
        <v>45320</v>
      </c>
      <c r="B422">
        <v>763.64</v>
      </c>
      <c r="C422">
        <v>118.51</v>
      </c>
      <c r="D422">
        <v>3</v>
      </c>
      <c r="E422" s="2" t="s">
        <v>16</v>
      </c>
      <c r="F422" s="2" t="s">
        <v>9</v>
      </c>
      <c r="G422" s="2" t="s">
        <v>14</v>
      </c>
      <c r="H422" s="2" t="s">
        <v>20</v>
      </c>
      <c r="I422" s="2">
        <f t="shared" si="12"/>
        <v>645.13</v>
      </c>
      <c r="J422" s="2">
        <f t="shared" si="13"/>
        <v>5.4436756391865666</v>
      </c>
    </row>
    <row r="423" spans="1:10" x14ac:dyDescent="0.3">
      <c r="A423" s="1">
        <v>45383</v>
      </c>
      <c r="B423">
        <v>1216.95</v>
      </c>
      <c r="C423">
        <v>232.51</v>
      </c>
      <c r="D423">
        <v>6</v>
      </c>
      <c r="E423" s="2" t="s">
        <v>8</v>
      </c>
      <c r="F423" s="2" t="s">
        <v>9</v>
      </c>
      <c r="G423" s="2" t="s">
        <v>19</v>
      </c>
      <c r="H423" s="2" t="s">
        <v>11</v>
      </c>
      <c r="I423" s="2">
        <f t="shared" si="12"/>
        <v>984.44</v>
      </c>
      <c r="J423" s="2">
        <f t="shared" si="13"/>
        <v>4.2339684314653141</v>
      </c>
    </row>
    <row r="424" spans="1:10" x14ac:dyDescent="0.3">
      <c r="A424" s="1">
        <v>45342</v>
      </c>
      <c r="B424">
        <v>384.5</v>
      </c>
      <c r="C424">
        <v>296.55</v>
      </c>
      <c r="D424">
        <v>4</v>
      </c>
      <c r="E424" s="2" t="s">
        <v>8</v>
      </c>
      <c r="F424" s="2" t="s">
        <v>9</v>
      </c>
      <c r="G424" s="2" t="s">
        <v>19</v>
      </c>
      <c r="H424" s="2" t="s">
        <v>20</v>
      </c>
      <c r="I424" s="2">
        <f t="shared" si="12"/>
        <v>87.949999999999989</v>
      </c>
      <c r="J424" s="2">
        <f t="shared" si="13"/>
        <v>0.29657730568200974</v>
      </c>
    </row>
    <row r="425" spans="1:10" x14ac:dyDescent="0.3">
      <c r="A425" s="1">
        <v>45308</v>
      </c>
      <c r="B425">
        <v>165.62</v>
      </c>
      <c r="C425">
        <v>126.12</v>
      </c>
      <c r="D425">
        <v>2</v>
      </c>
      <c r="E425" s="2" t="s">
        <v>16</v>
      </c>
      <c r="F425" s="2" t="s">
        <v>17</v>
      </c>
      <c r="G425" s="2" t="s">
        <v>19</v>
      </c>
      <c r="H425" s="2" t="s">
        <v>20</v>
      </c>
      <c r="I425" s="2">
        <f t="shared" si="12"/>
        <v>39.5</v>
      </c>
      <c r="J425" s="2">
        <f t="shared" si="13"/>
        <v>0.31319378369806533</v>
      </c>
    </row>
    <row r="426" spans="1:10" x14ac:dyDescent="0.3">
      <c r="A426" s="1">
        <v>45300</v>
      </c>
      <c r="B426">
        <v>1310.98</v>
      </c>
      <c r="C426">
        <v>315.14</v>
      </c>
      <c r="D426">
        <v>2</v>
      </c>
      <c r="E426" s="2" t="s">
        <v>13</v>
      </c>
      <c r="F426" s="2" t="s">
        <v>17</v>
      </c>
      <c r="G426" s="2" t="s">
        <v>10</v>
      </c>
      <c r="H426" s="2" t="s">
        <v>15</v>
      </c>
      <c r="I426" s="2">
        <f t="shared" si="12"/>
        <v>995.84</v>
      </c>
      <c r="J426" s="2">
        <f t="shared" si="13"/>
        <v>3.1599923843371203</v>
      </c>
    </row>
    <row r="427" spans="1:10" x14ac:dyDescent="0.3">
      <c r="A427" s="1">
        <v>45332</v>
      </c>
      <c r="B427">
        <v>1308.73</v>
      </c>
      <c r="C427">
        <v>459.05</v>
      </c>
      <c r="D427">
        <v>7</v>
      </c>
      <c r="E427" s="2" t="s">
        <v>13</v>
      </c>
      <c r="F427" s="2" t="s">
        <v>17</v>
      </c>
      <c r="G427" s="2" t="s">
        <v>14</v>
      </c>
      <c r="H427" s="2" t="s">
        <v>20</v>
      </c>
      <c r="I427" s="2">
        <f t="shared" si="12"/>
        <v>849.68000000000006</v>
      </c>
      <c r="J427" s="2">
        <f t="shared" si="13"/>
        <v>1.8509530552227427</v>
      </c>
    </row>
    <row r="428" spans="1:10" x14ac:dyDescent="0.3">
      <c r="A428" s="1">
        <v>45372</v>
      </c>
      <c r="B428">
        <v>802.53</v>
      </c>
      <c r="C428">
        <v>177.8</v>
      </c>
      <c r="D428">
        <v>3</v>
      </c>
      <c r="E428" s="2" t="s">
        <v>16</v>
      </c>
      <c r="F428" s="2" t="s">
        <v>17</v>
      </c>
      <c r="G428" s="2" t="s">
        <v>12</v>
      </c>
      <c r="H428" s="2" t="s">
        <v>18</v>
      </c>
      <c r="I428" s="2">
        <f t="shared" si="12"/>
        <v>624.73</v>
      </c>
      <c r="J428" s="2">
        <f t="shared" si="13"/>
        <v>3.5136670416197973</v>
      </c>
    </row>
    <row r="429" spans="1:10" x14ac:dyDescent="0.3">
      <c r="A429" s="1">
        <v>45317</v>
      </c>
      <c r="B429">
        <v>559.29</v>
      </c>
      <c r="C429">
        <v>394.4</v>
      </c>
      <c r="D429">
        <v>9</v>
      </c>
      <c r="E429" s="2" t="s">
        <v>8</v>
      </c>
      <c r="F429" s="2" t="s">
        <v>9</v>
      </c>
      <c r="G429" s="2" t="s">
        <v>10</v>
      </c>
      <c r="H429" s="2" t="s">
        <v>15</v>
      </c>
      <c r="I429" s="2">
        <f t="shared" si="12"/>
        <v>164.89</v>
      </c>
      <c r="J429" s="2">
        <f t="shared" si="13"/>
        <v>0.41807809330628803</v>
      </c>
    </row>
    <row r="430" spans="1:10" x14ac:dyDescent="0.3">
      <c r="A430" s="1">
        <v>45395</v>
      </c>
      <c r="B430">
        <v>1324.38</v>
      </c>
      <c r="C430">
        <v>159.25</v>
      </c>
      <c r="D430">
        <v>1</v>
      </c>
      <c r="E430" s="2" t="s">
        <v>8</v>
      </c>
      <c r="F430" s="2" t="s">
        <v>17</v>
      </c>
      <c r="G430" s="2" t="s">
        <v>14</v>
      </c>
      <c r="H430" s="2" t="s">
        <v>20</v>
      </c>
      <c r="I430" s="2">
        <f t="shared" si="12"/>
        <v>1165.1300000000001</v>
      </c>
      <c r="J430" s="2">
        <f t="shared" si="13"/>
        <v>7.3163579277865001</v>
      </c>
    </row>
    <row r="431" spans="1:10" x14ac:dyDescent="0.3">
      <c r="A431" s="1">
        <v>45356</v>
      </c>
      <c r="B431">
        <v>508.32</v>
      </c>
      <c r="C431">
        <v>280.05</v>
      </c>
      <c r="D431">
        <v>7</v>
      </c>
      <c r="E431" s="2" t="s">
        <v>13</v>
      </c>
      <c r="F431" s="2" t="s">
        <v>9</v>
      </c>
      <c r="G431" s="2" t="s">
        <v>19</v>
      </c>
      <c r="H431" s="2" t="s">
        <v>18</v>
      </c>
      <c r="I431" s="2">
        <f t="shared" si="12"/>
        <v>228.26999999999998</v>
      </c>
      <c r="J431" s="2">
        <f t="shared" si="13"/>
        <v>0.81510444563470796</v>
      </c>
    </row>
    <row r="432" spans="1:10" x14ac:dyDescent="0.3">
      <c r="A432" s="1">
        <v>45298</v>
      </c>
      <c r="B432">
        <v>852.01</v>
      </c>
      <c r="C432">
        <v>278.73</v>
      </c>
      <c r="D432">
        <v>9</v>
      </c>
      <c r="E432" s="2" t="s">
        <v>16</v>
      </c>
      <c r="F432" s="2" t="s">
        <v>9</v>
      </c>
      <c r="G432" s="2" t="s">
        <v>19</v>
      </c>
      <c r="H432" s="2" t="s">
        <v>18</v>
      </c>
      <c r="I432" s="2">
        <f t="shared" si="12"/>
        <v>573.28</v>
      </c>
      <c r="J432" s="2">
        <f t="shared" si="13"/>
        <v>2.0567574355110678</v>
      </c>
    </row>
    <row r="433" spans="1:10" x14ac:dyDescent="0.3">
      <c r="A433" s="1">
        <v>45293</v>
      </c>
      <c r="B433">
        <v>735.54</v>
      </c>
      <c r="C433">
        <v>67.38</v>
      </c>
      <c r="D433">
        <v>2</v>
      </c>
      <c r="E433" s="2" t="s">
        <v>8</v>
      </c>
      <c r="F433" s="2" t="s">
        <v>17</v>
      </c>
      <c r="G433" s="2" t="s">
        <v>10</v>
      </c>
      <c r="H433" s="2" t="s">
        <v>18</v>
      </c>
      <c r="I433" s="2">
        <f t="shared" si="12"/>
        <v>668.16</v>
      </c>
      <c r="J433" s="2">
        <f t="shared" si="13"/>
        <v>9.916295636687444</v>
      </c>
    </row>
    <row r="434" spans="1:10" x14ac:dyDescent="0.3">
      <c r="A434" s="1">
        <v>45317</v>
      </c>
      <c r="B434">
        <v>1324.31</v>
      </c>
      <c r="C434">
        <v>451.9</v>
      </c>
      <c r="D434">
        <v>3</v>
      </c>
      <c r="E434" s="2" t="s">
        <v>8</v>
      </c>
      <c r="F434" s="2" t="s">
        <v>9</v>
      </c>
      <c r="G434" s="2" t="s">
        <v>14</v>
      </c>
      <c r="H434" s="2" t="s">
        <v>20</v>
      </c>
      <c r="I434" s="2">
        <f t="shared" si="12"/>
        <v>872.41</v>
      </c>
      <c r="J434" s="2">
        <f t="shared" si="13"/>
        <v>1.9305377295861916</v>
      </c>
    </row>
    <row r="435" spans="1:10" x14ac:dyDescent="0.3">
      <c r="A435" s="1">
        <v>45384</v>
      </c>
      <c r="B435">
        <v>597.48</v>
      </c>
      <c r="C435">
        <v>298.18</v>
      </c>
      <c r="D435">
        <v>4</v>
      </c>
      <c r="E435" s="2" t="s">
        <v>8</v>
      </c>
      <c r="F435" s="2" t="s">
        <v>9</v>
      </c>
      <c r="G435" s="2" t="s">
        <v>12</v>
      </c>
      <c r="H435" s="2" t="s">
        <v>20</v>
      </c>
      <c r="I435" s="2">
        <f t="shared" si="12"/>
        <v>299.3</v>
      </c>
      <c r="J435" s="2">
        <f t="shared" si="13"/>
        <v>1.0037561204641492</v>
      </c>
    </row>
    <row r="436" spans="1:10" x14ac:dyDescent="0.3">
      <c r="A436" s="1">
        <v>45366</v>
      </c>
      <c r="B436">
        <v>624.19000000000005</v>
      </c>
      <c r="C436">
        <v>323.39</v>
      </c>
      <c r="D436">
        <v>7</v>
      </c>
      <c r="E436" s="2" t="s">
        <v>8</v>
      </c>
      <c r="F436" s="2" t="s">
        <v>17</v>
      </c>
      <c r="G436" s="2" t="s">
        <v>14</v>
      </c>
      <c r="H436" s="2" t="s">
        <v>15</v>
      </c>
      <c r="I436" s="2">
        <f t="shared" si="12"/>
        <v>300.80000000000007</v>
      </c>
      <c r="J436" s="2">
        <f t="shared" si="13"/>
        <v>0.93014626302606784</v>
      </c>
    </row>
    <row r="437" spans="1:10" x14ac:dyDescent="0.3">
      <c r="A437" s="1">
        <v>45354</v>
      </c>
      <c r="B437">
        <v>742.08</v>
      </c>
      <c r="C437">
        <v>208.45</v>
      </c>
      <c r="D437">
        <v>4</v>
      </c>
      <c r="E437" s="2" t="s">
        <v>13</v>
      </c>
      <c r="F437" s="2" t="s">
        <v>17</v>
      </c>
      <c r="G437" s="2" t="s">
        <v>19</v>
      </c>
      <c r="H437" s="2" t="s">
        <v>18</v>
      </c>
      <c r="I437" s="2">
        <f t="shared" si="12"/>
        <v>533.63000000000011</v>
      </c>
      <c r="J437" s="2">
        <f t="shared" si="13"/>
        <v>2.5599904053729916</v>
      </c>
    </row>
    <row r="438" spans="1:10" x14ac:dyDescent="0.3">
      <c r="A438" s="1">
        <v>45335</v>
      </c>
      <c r="B438">
        <v>497.04</v>
      </c>
      <c r="C438">
        <v>88.74</v>
      </c>
      <c r="D438">
        <v>7</v>
      </c>
      <c r="E438" s="2" t="s">
        <v>13</v>
      </c>
      <c r="F438" s="2" t="s">
        <v>9</v>
      </c>
      <c r="G438" s="2" t="s">
        <v>12</v>
      </c>
      <c r="H438" s="2" t="s">
        <v>18</v>
      </c>
      <c r="I438" s="2">
        <f t="shared" si="12"/>
        <v>408.3</v>
      </c>
      <c r="J438" s="2">
        <f t="shared" si="13"/>
        <v>4.6010818120351589</v>
      </c>
    </row>
    <row r="439" spans="1:10" x14ac:dyDescent="0.3">
      <c r="A439" s="1">
        <v>45367</v>
      </c>
      <c r="B439">
        <v>1343.38</v>
      </c>
      <c r="C439">
        <v>205.11</v>
      </c>
      <c r="D439">
        <v>4</v>
      </c>
      <c r="E439" s="2" t="s">
        <v>13</v>
      </c>
      <c r="F439" s="2" t="s">
        <v>9</v>
      </c>
      <c r="G439" s="2" t="s">
        <v>10</v>
      </c>
      <c r="H439" s="2" t="s">
        <v>20</v>
      </c>
      <c r="I439" s="2">
        <f t="shared" si="12"/>
        <v>1138.27</v>
      </c>
      <c r="J439" s="2">
        <f t="shared" si="13"/>
        <v>5.5495587733411336</v>
      </c>
    </row>
    <row r="440" spans="1:10" x14ac:dyDescent="0.3">
      <c r="A440" s="1">
        <v>45359</v>
      </c>
      <c r="B440">
        <v>780.17</v>
      </c>
      <c r="C440">
        <v>342.43</v>
      </c>
      <c r="D440">
        <v>3</v>
      </c>
      <c r="E440" s="2" t="s">
        <v>8</v>
      </c>
      <c r="F440" s="2" t="s">
        <v>9</v>
      </c>
      <c r="G440" s="2" t="s">
        <v>12</v>
      </c>
      <c r="H440" s="2" t="s">
        <v>18</v>
      </c>
      <c r="I440" s="2">
        <f t="shared" si="12"/>
        <v>437.73999999999995</v>
      </c>
      <c r="J440" s="2">
        <f t="shared" si="13"/>
        <v>1.2783342580965451</v>
      </c>
    </row>
    <row r="441" spans="1:10" x14ac:dyDescent="0.3">
      <c r="A441" s="1">
        <v>45343</v>
      </c>
      <c r="B441">
        <v>834.21</v>
      </c>
      <c r="C441">
        <v>101.72</v>
      </c>
      <c r="D441">
        <v>5</v>
      </c>
      <c r="E441" s="2" t="s">
        <v>13</v>
      </c>
      <c r="F441" s="2" t="s">
        <v>17</v>
      </c>
      <c r="G441" s="2" t="s">
        <v>10</v>
      </c>
      <c r="H441" s="2" t="s">
        <v>11</v>
      </c>
      <c r="I441" s="2">
        <f t="shared" si="12"/>
        <v>732.49</v>
      </c>
      <c r="J441" s="2">
        <f t="shared" si="13"/>
        <v>7.2010420762878491</v>
      </c>
    </row>
    <row r="442" spans="1:10" x14ac:dyDescent="0.3">
      <c r="A442" s="1">
        <v>45349</v>
      </c>
      <c r="B442">
        <v>1237.3900000000001</v>
      </c>
      <c r="C442">
        <v>400.54</v>
      </c>
      <c r="D442">
        <v>0</v>
      </c>
      <c r="E442" s="2" t="s">
        <v>16</v>
      </c>
      <c r="F442" s="2" t="s">
        <v>17</v>
      </c>
      <c r="G442" s="2" t="s">
        <v>14</v>
      </c>
      <c r="H442" s="2" t="s">
        <v>18</v>
      </c>
      <c r="I442" s="2">
        <f t="shared" si="12"/>
        <v>836.85000000000014</v>
      </c>
      <c r="J442" s="2">
        <f t="shared" si="13"/>
        <v>2.0893044390073405</v>
      </c>
    </row>
    <row r="443" spans="1:10" x14ac:dyDescent="0.3">
      <c r="A443" s="1">
        <v>45302</v>
      </c>
      <c r="B443">
        <v>574.46</v>
      </c>
      <c r="C443">
        <v>306.60000000000002</v>
      </c>
      <c r="D443">
        <v>0</v>
      </c>
      <c r="E443" s="2" t="s">
        <v>13</v>
      </c>
      <c r="F443" s="2" t="s">
        <v>17</v>
      </c>
      <c r="G443" s="2" t="s">
        <v>14</v>
      </c>
      <c r="H443" s="2" t="s">
        <v>18</v>
      </c>
      <c r="I443" s="2">
        <f t="shared" si="12"/>
        <v>267.86</v>
      </c>
      <c r="J443" s="2">
        <f t="shared" si="13"/>
        <v>0.87364644487932153</v>
      </c>
    </row>
    <row r="444" spans="1:10" x14ac:dyDescent="0.3">
      <c r="A444" s="1">
        <v>45364</v>
      </c>
      <c r="B444">
        <v>508.19</v>
      </c>
      <c r="C444">
        <v>140.66</v>
      </c>
      <c r="D444">
        <v>1</v>
      </c>
      <c r="E444" s="2" t="s">
        <v>16</v>
      </c>
      <c r="F444" s="2" t="s">
        <v>17</v>
      </c>
      <c r="G444" s="2" t="s">
        <v>10</v>
      </c>
      <c r="H444" s="2" t="s">
        <v>18</v>
      </c>
      <c r="I444" s="2">
        <f t="shared" si="12"/>
        <v>367.53</v>
      </c>
      <c r="J444" s="2">
        <f t="shared" si="13"/>
        <v>2.6128963457983789</v>
      </c>
    </row>
    <row r="445" spans="1:10" x14ac:dyDescent="0.3">
      <c r="A445" s="1">
        <v>45359</v>
      </c>
      <c r="B445">
        <v>905.09</v>
      </c>
      <c r="C445">
        <v>263.64</v>
      </c>
      <c r="D445">
        <v>4</v>
      </c>
      <c r="E445" s="2" t="s">
        <v>13</v>
      </c>
      <c r="F445" s="2" t="s">
        <v>9</v>
      </c>
      <c r="G445" s="2" t="s">
        <v>10</v>
      </c>
      <c r="H445" s="2" t="s">
        <v>11</v>
      </c>
      <c r="I445" s="2">
        <f t="shared" si="12"/>
        <v>641.45000000000005</v>
      </c>
      <c r="J445" s="2">
        <f t="shared" si="13"/>
        <v>2.4330526475496894</v>
      </c>
    </row>
    <row r="446" spans="1:10" x14ac:dyDescent="0.3">
      <c r="A446" s="1">
        <v>45390</v>
      </c>
      <c r="B446">
        <v>609.53</v>
      </c>
      <c r="C446">
        <v>269.39</v>
      </c>
      <c r="D446">
        <v>5</v>
      </c>
      <c r="E446" s="2" t="s">
        <v>16</v>
      </c>
      <c r="F446" s="2" t="s">
        <v>17</v>
      </c>
      <c r="G446" s="2" t="s">
        <v>19</v>
      </c>
      <c r="H446" s="2" t="s">
        <v>15</v>
      </c>
      <c r="I446" s="2">
        <f t="shared" si="12"/>
        <v>340.14</v>
      </c>
      <c r="J446" s="2">
        <f t="shared" si="13"/>
        <v>1.2626303871710161</v>
      </c>
    </row>
    <row r="447" spans="1:10" x14ac:dyDescent="0.3">
      <c r="A447" s="1">
        <v>45304</v>
      </c>
      <c r="B447">
        <v>1177.69</v>
      </c>
      <c r="C447">
        <v>178.11</v>
      </c>
      <c r="D447">
        <v>9</v>
      </c>
      <c r="E447" s="2" t="s">
        <v>13</v>
      </c>
      <c r="F447" s="2" t="s">
        <v>17</v>
      </c>
      <c r="G447" s="2" t="s">
        <v>19</v>
      </c>
      <c r="H447" s="2" t="s">
        <v>20</v>
      </c>
      <c r="I447" s="2">
        <f t="shared" si="12"/>
        <v>999.58</v>
      </c>
      <c r="J447" s="2">
        <f t="shared" si="13"/>
        <v>5.6121497950704615</v>
      </c>
    </row>
    <row r="448" spans="1:10" x14ac:dyDescent="0.3">
      <c r="A448" s="1">
        <v>45315</v>
      </c>
      <c r="B448">
        <v>1304.69</v>
      </c>
      <c r="C448">
        <v>223.49</v>
      </c>
      <c r="D448">
        <v>0</v>
      </c>
      <c r="E448" s="2" t="s">
        <v>13</v>
      </c>
      <c r="F448" s="2" t="s">
        <v>17</v>
      </c>
      <c r="G448" s="2" t="s">
        <v>19</v>
      </c>
      <c r="H448" s="2" t="s">
        <v>18</v>
      </c>
      <c r="I448" s="2">
        <f t="shared" si="12"/>
        <v>1081.2</v>
      </c>
      <c r="J448" s="2">
        <f t="shared" si="13"/>
        <v>4.8378003490089041</v>
      </c>
    </row>
    <row r="449" spans="1:10" x14ac:dyDescent="0.3">
      <c r="A449" s="1">
        <v>45330</v>
      </c>
      <c r="B449">
        <v>1321.24</v>
      </c>
      <c r="C449">
        <v>225.61</v>
      </c>
      <c r="D449">
        <v>0</v>
      </c>
      <c r="E449" s="2" t="s">
        <v>16</v>
      </c>
      <c r="F449" s="2" t="s">
        <v>17</v>
      </c>
      <c r="G449" s="2" t="s">
        <v>14</v>
      </c>
      <c r="H449" s="2" t="s">
        <v>18</v>
      </c>
      <c r="I449" s="2">
        <f t="shared" si="12"/>
        <v>1095.6300000000001</v>
      </c>
      <c r="J449" s="2">
        <f t="shared" si="13"/>
        <v>4.8563006958911394</v>
      </c>
    </row>
    <row r="450" spans="1:10" x14ac:dyDescent="0.3">
      <c r="A450" s="1">
        <v>45405</v>
      </c>
      <c r="B450">
        <v>1321.56</v>
      </c>
      <c r="C450">
        <v>35.47</v>
      </c>
      <c r="D450">
        <v>6</v>
      </c>
      <c r="E450" s="2" t="s">
        <v>8</v>
      </c>
      <c r="F450" s="2" t="s">
        <v>17</v>
      </c>
      <c r="G450" s="2" t="s">
        <v>19</v>
      </c>
      <c r="H450" s="2" t="s">
        <v>11</v>
      </c>
      <c r="I450" s="2">
        <f t="shared" ref="I450:I513" si="14">B450-C450</f>
        <v>1286.0899999999999</v>
      </c>
      <c r="J450" s="2">
        <f t="shared" ref="J450:J513" si="15">IF(C450=0,0,I450/C450)</f>
        <v>36.258528333803213</v>
      </c>
    </row>
    <row r="451" spans="1:10" x14ac:dyDescent="0.3">
      <c r="A451" s="1">
        <v>45411</v>
      </c>
      <c r="B451">
        <v>181.93</v>
      </c>
      <c r="C451">
        <v>243.98</v>
      </c>
      <c r="D451">
        <v>3</v>
      </c>
      <c r="E451" s="2" t="s">
        <v>8</v>
      </c>
      <c r="F451" s="2" t="s">
        <v>17</v>
      </c>
      <c r="G451" s="2" t="s">
        <v>10</v>
      </c>
      <c r="H451" s="2" t="s">
        <v>20</v>
      </c>
      <c r="I451" s="2">
        <f t="shared" si="14"/>
        <v>-62.049999999999983</v>
      </c>
      <c r="J451" s="2">
        <f t="shared" si="15"/>
        <v>-0.25432412492827278</v>
      </c>
    </row>
    <row r="452" spans="1:10" x14ac:dyDescent="0.3">
      <c r="A452" s="1">
        <v>45312</v>
      </c>
      <c r="B452">
        <v>1356.17</v>
      </c>
      <c r="C452">
        <v>206.27</v>
      </c>
      <c r="D452">
        <v>8</v>
      </c>
      <c r="E452" s="2" t="s">
        <v>8</v>
      </c>
      <c r="F452" s="2" t="s">
        <v>9</v>
      </c>
      <c r="G452" s="2" t="s">
        <v>10</v>
      </c>
      <c r="H452" s="2" t="s">
        <v>18</v>
      </c>
      <c r="I452" s="2">
        <f t="shared" si="14"/>
        <v>1149.9000000000001</v>
      </c>
      <c r="J452" s="2">
        <f t="shared" si="15"/>
        <v>5.5747321471857276</v>
      </c>
    </row>
    <row r="453" spans="1:10" x14ac:dyDescent="0.3">
      <c r="A453" s="1">
        <v>45371</v>
      </c>
      <c r="B453">
        <v>460.74</v>
      </c>
      <c r="C453">
        <v>152.97</v>
      </c>
      <c r="D453">
        <v>10</v>
      </c>
      <c r="E453" s="2" t="s">
        <v>8</v>
      </c>
      <c r="F453" s="2" t="s">
        <v>9</v>
      </c>
      <c r="G453" s="2" t="s">
        <v>19</v>
      </c>
      <c r="H453" s="2" t="s">
        <v>20</v>
      </c>
      <c r="I453" s="2">
        <f t="shared" si="14"/>
        <v>307.77</v>
      </c>
      <c r="J453" s="2">
        <f t="shared" si="15"/>
        <v>2.011963130025495</v>
      </c>
    </row>
    <row r="454" spans="1:10" x14ac:dyDescent="0.3">
      <c r="A454" s="1">
        <v>45332</v>
      </c>
      <c r="B454">
        <v>973.83</v>
      </c>
      <c r="C454">
        <v>112.87</v>
      </c>
      <c r="D454">
        <v>3</v>
      </c>
      <c r="E454" s="2" t="s">
        <v>16</v>
      </c>
      <c r="F454" s="2" t="s">
        <v>9</v>
      </c>
      <c r="G454" s="2" t="s">
        <v>10</v>
      </c>
      <c r="H454" s="2" t="s">
        <v>18</v>
      </c>
      <c r="I454" s="2">
        <f t="shared" si="14"/>
        <v>860.96</v>
      </c>
      <c r="J454" s="2">
        <f t="shared" si="15"/>
        <v>7.627890493488084</v>
      </c>
    </row>
    <row r="455" spans="1:10" x14ac:dyDescent="0.3">
      <c r="A455" s="1">
        <v>45401</v>
      </c>
      <c r="B455">
        <v>471.5</v>
      </c>
      <c r="C455">
        <v>265.64999999999998</v>
      </c>
      <c r="D455">
        <v>0</v>
      </c>
      <c r="E455" s="2" t="s">
        <v>16</v>
      </c>
      <c r="F455" s="2" t="s">
        <v>17</v>
      </c>
      <c r="G455" s="2" t="s">
        <v>19</v>
      </c>
      <c r="H455" s="2" t="s">
        <v>15</v>
      </c>
      <c r="I455" s="2">
        <f t="shared" si="14"/>
        <v>205.85000000000002</v>
      </c>
      <c r="J455" s="2">
        <f t="shared" si="15"/>
        <v>0.77489177489177508</v>
      </c>
    </row>
    <row r="456" spans="1:10" x14ac:dyDescent="0.3">
      <c r="A456" s="1">
        <v>45312</v>
      </c>
      <c r="B456">
        <v>1484.44</v>
      </c>
      <c r="C456">
        <v>106.94</v>
      </c>
      <c r="D456">
        <v>2</v>
      </c>
      <c r="E456" s="2" t="s">
        <v>13</v>
      </c>
      <c r="F456" s="2" t="s">
        <v>9</v>
      </c>
      <c r="G456" s="2" t="s">
        <v>14</v>
      </c>
      <c r="H456" s="2" t="s">
        <v>11</v>
      </c>
      <c r="I456" s="2">
        <f t="shared" si="14"/>
        <v>1377.5</v>
      </c>
      <c r="J456" s="2">
        <f t="shared" si="15"/>
        <v>12.881054797082477</v>
      </c>
    </row>
    <row r="457" spans="1:10" x14ac:dyDescent="0.3">
      <c r="A457" s="1">
        <v>45335</v>
      </c>
      <c r="B457">
        <v>1280.1099999999999</v>
      </c>
      <c r="C457">
        <v>283.8</v>
      </c>
      <c r="D457">
        <v>4</v>
      </c>
      <c r="E457" s="2" t="s">
        <v>16</v>
      </c>
      <c r="F457" s="2" t="s">
        <v>9</v>
      </c>
      <c r="G457" s="2" t="s">
        <v>19</v>
      </c>
      <c r="H457" s="2" t="s">
        <v>20</v>
      </c>
      <c r="I457" s="2">
        <f t="shared" si="14"/>
        <v>996.31</v>
      </c>
      <c r="J457" s="2">
        <f t="shared" si="15"/>
        <v>3.5106060606060603</v>
      </c>
    </row>
    <row r="458" spans="1:10" x14ac:dyDescent="0.3">
      <c r="A458" s="1">
        <v>45361</v>
      </c>
      <c r="B458">
        <v>1223.0899999999999</v>
      </c>
      <c r="C458">
        <v>455.27</v>
      </c>
      <c r="D458">
        <v>4</v>
      </c>
      <c r="E458" s="2" t="s">
        <v>13</v>
      </c>
      <c r="F458" s="2" t="s">
        <v>9</v>
      </c>
      <c r="G458" s="2" t="s">
        <v>10</v>
      </c>
      <c r="H458" s="2" t="s">
        <v>11</v>
      </c>
      <c r="I458" s="2">
        <f t="shared" si="14"/>
        <v>767.81999999999994</v>
      </c>
      <c r="J458" s="2">
        <f t="shared" si="15"/>
        <v>1.6865156939837898</v>
      </c>
    </row>
    <row r="459" spans="1:10" x14ac:dyDescent="0.3">
      <c r="A459" s="1">
        <v>45384</v>
      </c>
      <c r="B459">
        <v>256.68</v>
      </c>
      <c r="C459">
        <v>233.37</v>
      </c>
      <c r="D459">
        <v>5</v>
      </c>
      <c r="E459" s="2" t="s">
        <v>8</v>
      </c>
      <c r="F459" s="2" t="s">
        <v>17</v>
      </c>
      <c r="G459" s="2" t="s">
        <v>14</v>
      </c>
      <c r="H459" s="2" t="s">
        <v>11</v>
      </c>
      <c r="I459" s="2">
        <f t="shared" si="14"/>
        <v>23.310000000000002</v>
      </c>
      <c r="J459" s="2">
        <f t="shared" si="15"/>
        <v>9.9884303895102208E-2</v>
      </c>
    </row>
    <row r="460" spans="1:10" x14ac:dyDescent="0.3">
      <c r="A460" s="1">
        <v>45320</v>
      </c>
      <c r="B460">
        <v>875.55</v>
      </c>
      <c r="C460">
        <v>493.1</v>
      </c>
      <c r="D460">
        <v>5</v>
      </c>
      <c r="E460" s="2" t="s">
        <v>13</v>
      </c>
      <c r="F460" s="2" t="s">
        <v>17</v>
      </c>
      <c r="G460" s="2" t="s">
        <v>14</v>
      </c>
      <c r="H460" s="2" t="s">
        <v>15</v>
      </c>
      <c r="I460" s="2">
        <f t="shared" si="14"/>
        <v>382.44999999999993</v>
      </c>
      <c r="J460" s="2">
        <f t="shared" si="15"/>
        <v>0.77560332589738368</v>
      </c>
    </row>
    <row r="461" spans="1:10" x14ac:dyDescent="0.3">
      <c r="A461" s="1">
        <v>45353</v>
      </c>
      <c r="B461">
        <v>1495.08</v>
      </c>
      <c r="C461">
        <v>410.03</v>
      </c>
      <c r="D461">
        <v>7</v>
      </c>
      <c r="E461" s="2" t="s">
        <v>8</v>
      </c>
      <c r="F461" s="2" t="s">
        <v>17</v>
      </c>
      <c r="G461" s="2" t="s">
        <v>10</v>
      </c>
      <c r="H461" s="2" t="s">
        <v>15</v>
      </c>
      <c r="I461" s="2">
        <f t="shared" si="14"/>
        <v>1085.05</v>
      </c>
      <c r="J461" s="2">
        <f t="shared" si="15"/>
        <v>2.6462697851376729</v>
      </c>
    </row>
    <row r="462" spans="1:10" x14ac:dyDescent="0.3">
      <c r="A462" s="1">
        <v>45331</v>
      </c>
      <c r="B462">
        <v>1413.3</v>
      </c>
      <c r="C462">
        <v>71.099999999999994</v>
      </c>
      <c r="D462">
        <v>8</v>
      </c>
      <c r="E462" s="2" t="s">
        <v>13</v>
      </c>
      <c r="F462" s="2" t="s">
        <v>9</v>
      </c>
      <c r="G462" s="2" t="s">
        <v>19</v>
      </c>
      <c r="H462" s="2" t="s">
        <v>15</v>
      </c>
      <c r="I462" s="2">
        <f t="shared" si="14"/>
        <v>1342.2</v>
      </c>
      <c r="J462" s="2">
        <f t="shared" si="15"/>
        <v>18.877637130801691</v>
      </c>
    </row>
    <row r="463" spans="1:10" x14ac:dyDescent="0.3">
      <c r="A463" s="1">
        <v>45378</v>
      </c>
      <c r="B463">
        <v>1313.63</v>
      </c>
      <c r="C463">
        <v>436.79</v>
      </c>
      <c r="D463">
        <v>2</v>
      </c>
      <c r="E463" s="2" t="s">
        <v>13</v>
      </c>
      <c r="F463" s="2" t="s">
        <v>17</v>
      </c>
      <c r="G463" s="2" t="s">
        <v>19</v>
      </c>
      <c r="H463" s="2" t="s">
        <v>15</v>
      </c>
      <c r="I463" s="2">
        <f t="shared" si="14"/>
        <v>876.84000000000015</v>
      </c>
      <c r="J463" s="2">
        <f t="shared" si="15"/>
        <v>2.0074635408319792</v>
      </c>
    </row>
    <row r="464" spans="1:10" x14ac:dyDescent="0.3">
      <c r="A464" s="1">
        <v>45387</v>
      </c>
      <c r="B464">
        <v>658.46</v>
      </c>
      <c r="C464">
        <v>271.58</v>
      </c>
      <c r="D464">
        <v>6</v>
      </c>
      <c r="E464" s="2" t="s">
        <v>8</v>
      </c>
      <c r="F464" s="2" t="s">
        <v>9</v>
      </c>
      <c r="G464" s="2" t="s">
        <v>19</v>
      </c>
      <c r="H464" s="2" t="s">
        <v>20</v>
      </c>
      <c r="I464" s="2">
        <f t="shared" si="14"/>
        <v>386.88000000000005</v>
      </c>
      <c r="J464" s="2">
        <f t="shared" si="15"/>
        <v>1.4245526180131087</v>
      </c>
    </row>
    <row r="465" spans="1:10" x14ac:dyDescent="0.3">
      <c r="A465" s="1">
        <v>45411</v>
      </c>
      <c r="B465">
        <v>290.7</v>
      </c>
      <c r="C465">
        <v>61.59</v>
      </c>
      <c r="D465">
        <v>8</v>
      </c>
      <c r="E465" s="2" t="s">
        <v>16</v>
      </c>
      <c r="F465" s="2" t="s">
        <v>17</v>
      </c>
      <c r="G465" s="2" t="s">
        <v>12</v>
      </c>
      <c r="H465" s="2" t="s">
        <v>11</v>
      </c>
      <c r="I465" s="2">
        <f t="shared" si="14"/>
        <v>229.10999999999999</v>
      </c>
      <c r="J465" s="2">
        <f t="shared" si="15"/>
        <v>3.7199220652703358</v>
      </c>
    </row>
    <row r="466" spans="1:10" x14ac:dyDescent="0.3">
      <c r="A466" s="1">
        <v>45296</v>
      </c>
      <c r="B466">
        <v>895.44</v>
      </c>
      <c r="C466">
        <v>95.73</v>
      </c>
      <c r="D466">
        <v>1</v>
      </c>
      <c r="E466" s="2" t="s">
        <v>13</v>
      </c>
      <c r="F466" s="2" t="s">
        <v>17</v>
      </c>
      <c r="G466" s="2" t="s">
        <v>12</v>
      </c>
      <c r="H466" s="2" t="s">
        <v>11</v>
      </c>
      <c r="I466" s="2">
        <f t="shared" si="14"/>
        <v>799.71</v>
      </c>
      <c r="J466" s="2">
        <f t="shared" si="15"/>
        <v>8.3538075838295214</v>
      </c>
    </row>
    <row r="467" spans="1:10" x14ac:dyDescent="0.3">
      <c r="A467" s="1">
        <v>45314</v>
      </c>
      <c r="B467">
        <v>705.79</v>
      </c>
      <c r="C467">
        <v>325.52</v>
      </c>
      <c r="D467">
        <v>4</v>
      </c>
      <c r="E467" s="2" t="s">
        <v>8</v>
      </c>
      <c r="F467" s="2" t="s">
        <v>9</v>
      </c>
      <c r="G467" s="2" t="s">
        <v>12</v>
      </c>
      <c r="H467" s="2" t="s">
        <v>15</v>
      </c>
      <c r="I467" s="2">
        <f t="shared" si="14"/>
        <v>380.27</v>
      </c>
      <c r="J467" s="2">
        <f t="shared" si="15"/>
        <v>1.1681924305726223</v>
      </c>
    </row>
    <row r="468" spans="1:10" x14ac:dyDescent="0.3">
      <c r="A468" s="1">
        <v>45330</v>
      </c>
      <c r="B468">
        <v>98.92</v>
      </c>
      <c r="C468">
        <v>24.23</v>
      </c>
      <c r="D468">
        <v>8</v>
      </c>
      <c r="E468" s="2" t="s">
        <v>13</v>
      </c>
      <c r="F468" s="2" t="s">
        <v>17</v>
      </c>
      <c r="G468" s="2" t="s">
        <v>12</v>
      </c>
      <c r="H468" s="2" t="s">
        <v>18</v>
      </c>
      <c r="I468" s="2">
        <f t="shared" si="14"/>
        <v>74.69</v>
      </c>
      <c r="J468" s="2">
        <f t="shared" si="15"/>
        <v>3.0825423029302517</v>
      </c>
    </row>
    <row r="469" spans="1:10" x14ac:dyDescent="0.3">
      <c r="A469" s="1">
        <v>45387</v>
      </c>
      <c r="B469">
        <v>1048.78</v>
      </c>
      <c r="C469">
        <v>401.1</v>
      </c>
      <c r="D469">
        <v>7</v>
      </c>
      <c r="E469" s="2" t="s">
        <v>16</v>
      </c>
      <c r="F469" s="2" t="s">
        <v>9</v>
      </c>
      <c r="G469" s="2" t="s">
        <v>10</v>
      </c>
      <c r="H469" s="2" t="s">
        <v>20</v>
      </c>
      <c r="I469" s="2">
        <f t="shared" si="14"/>
        <v>647.67999999999995</v>
      </c>
      <c r="J469" s="2">
        <f t="shared" si="15"/>
        <v>1.6147594116180501</v>
      </c>
    </row>
    <row r="470" spans="1:10" x14ac:dyDescent="0.3">
      <c r="A470" s="1">
        <v>45321</v>
      </c>
      <c r="B470">
        <v>1335.18</v>
      </c>
      <c r="C470">
        <v>272.77</v>
      </c>
      <c r="D470">
        <v>10</v>
      </c>
      <c r="E470" s="2" t="s">
        <v>8</v>
      </c>
      <c r="F470" s="2" t="s">
        <v>17</v>
      </c>
      <c r="G470" s="2" t="s">
        <v>14</v>
      </c>
      <c r="H470" s="2" t="s">
        <v>18</v>
      </c>
      <c r="I470" s="2">
        <f t="shared" si="14"/>
        <v>1062.4100000000001</v>
      </c>
      <c r="J470" s="2">
        <f t="shared" si="15"/>
        <v>3.8948931334090999</v>
      </c>
    </row>
    <row r="471" spans="1:10" x14ac:dyDescent="0.3">
      <c r="A471" s="1">
        <v>45409</v>
      </c>
      <c r="B471">
        <v>369.06</v>
      </c>
      <c r="C471">
        <v>238.53</v>
      </c>
      <c r="D471">
        <v>9</v>
      </c>
      <c r="E471" s="2" t="s">
        <v>16</v>
      </c>
      <c r="F471" s="2" t="s">
        <v>17</v>
      </c>
      <c r="G471" s="2" t="s">
        <v>19</v>
      </c>
      <c r="H471" s="2" t="s">
        <v>18</v>
      </c>
      <c r="I471" s="2">
        <f t="shared" si="14"/>
        <v>130.53</v>
      </c>
      <c r="J471" s="2">
        <f t="shared" si="15"/>
        <v>0.54722676392906555</v>
      </c>
    </row>
    <row r="472" spans="1:10" x14ac:dyDescent="0.3">
      <c r="A472" s="1">
        <v>45341</v>
      </c>
      <c r="B472">
        <v>832.95</v>
      </c>
      <c r="C472">
        <v>87</v>
      </c>
      <c r="D472">
        <v>0</v>
      </c>
      <c r="E472" s="2" t="s">
        <v>16</v>
      </c>
      <c r="F472" s="2" t="s">
        <v>9</v>
      </c>
      <c r="G472" s="2" t="s">
        <v>19</v>
      </c>
      <c r="H472" s="2" t="s">
        <v>11</v>
      </c>
      <c r="I472" s="2">
        <f t="shared" si="14"/>
        <v>745.95</v>
      </c>
      <c r="J472" s="2">
        <f t="shared" si="15"/>
        <v>8.5741379310344836</v>
      </c>
    </row>
    <row r="473" spans="1:10" x14ac:dyDescent="0.3">
      <c r="A473" s="1">
        <v>45363</v>
      </c>
      <c r="B473">
        <v>931.29</v>
      </c>
      <c r="C473">
        <v>29.34</v>
      </c>
      <c r="D473">
        <v>5</v>
      </c>
      <c r="E473" s="2" t="s">
        <v>13</v>
      </c>
      <c r="F473" s="2" t="s">
        <v>9</v>
      </c>
      <c r="G473" s="2" t="s">
        <v>19</v>
      </c>
      <c r="H473" s="2" t="s">
        <v>11</v>
      </c>
      <c r="I473" s="2">
        <f t="shared" si="14"/>
        <v>901.94999999999993</v>
      </c>
      <c r="J473" s="2">
        <f t="shared" si="15"/>
        <v>30.741308793456032</v>
      </c>
    </row>
    <row r="474" spans="1:10" x14ac:dyDescent="0.3">
      <c r="A474" s="1">
        <v>45336</v>
      </c>
      <c r="B474">
        <v>1306.54</v>
      </c>
      <c r="C474">
        <v>293.31</v>
      </c>
      <c r="D474">
        <v>1</v>
      </c>
      <c r="E474" s="2" t="s">
        <v>8</v>
      </c>
      <c r="F474" s="2" t="s">
        <v>17</v>
      </c>
      <c r="G474" s="2" t="s">
        <v>19</v>
      </c>
      <c r="H474" s="2" t="s">
        <v>11</v>
      </c>
      <c r="I474" s="2">
        <f t="shared" si="14"/>
        <v>1013.23</v>
      </c>
      <c r="J474" s="2">
        <f t="shared" si="15"/>
        <v>3.4544679690429922</v>
      </c>
    </row>
    <row r="475" spans="1:10" x14ac:dyDescent="0.3">
      <c r="A475" s="1">
        <v>45389</v>
      </c>
      <c r="B475">
        <v>264.58999999999997</v>
      </c>
      <c r="C475">
        <v>98.14</v>
      </c>
      <c r="D475">
        <v>1</v>
      </c>
      <c r="E475" s="2" t="s">
        <v>16</v>
      </c>
      <c r="F475" s="2" t="s">
        <v>17</v>
      </c>
      <c r="G475" s="2" t="s">
        <v>10</v>
      </c>
      <c r="H475" s="2" t="s">
        <v>15</v>
      </c>
      <c r="I475" s="2">
        <f t="shared" si="14"/>
        <v>166.45</v>
      </c>
      <c r="J475" s="2">
        <f t="shared" si="15"/>
        <v>1.6960464642347666</v>
      </c>
    </row>
    <row r="476" spans="1:10" x14ac:dyDescent="0.3">
      <c r="A476" s="1">
        <v>45312</v>
      </c>
      <c r="B476">
        <v>429.33</v>
      </c>
      <c r="C476">
        <v>474.83</v>
      </c>
      <c r="D476">
        <v>1</v>
      </c>
      <c r="E476" s="2" t="s">
        <v>8</v>
      </c>
      <c r="F476" s="2" t="s">
        <v>9</v>
      </c>
      <c r="G476" s="2" t="s">
        <v>14</v>
      </c>
      <c r="H476" s="2" t="s">
        <v>18</v>
      </c>
      <c r="I476" s="2">
        <f t="shared" si="14"/>
        <v>-45.5</v>
      </c>
      <c r="J476" s="2">
        <f t="shared" si="15"/>
        <v>-9.5823768506623427E-2</v>
      </c>
    </row>
    <row r="477" spans="1:10" x14ac:dyDescent="0.3">
      <c r="A477" s="1">
        <v>45347</v>
      </c>
      <c r="B477">
        <v>1264.24</v>
      </c>
      <c r="C477">
        <v>473.96</v>
      </c>
      <c r="D477">
        <v>8</v>
      </c>
      <c r="E477" s="2" t="s">
        <v>13</v>
      </c>
      <c r="F477" s="2" t="s">
        <v>17</v>
      </c>
      <c r="G477" s="2" t="s">
        <v>10</v>
      </c>
      <c r="H477" s="2" t="s">
        <v>11</v>
      </c>
      <c r="I477" s="2">
        <f t="shared" si="14"/>
        <v>790.28</v>
      </c>
      <c r="J477" s="2">
        <f t="shared" si="15"/>
        <v>1.6673980926660479</v>
      </c>
    </row>
    <row r="478" spans="1:10" x14ac:dyDescent="0.3">
      <c r="A478" s="1">
        <v>45316</v>
      </c>
      <c r="B478">
        <v>901.51</v>
      </c>
      <c r="C478">
        <v>294.89</v>
      </c>
      <c r="D478">
        <v>3</v>
      </c>
      <c r="E478" s="2" t="s">
        <v>8</v>
      </c>
      <c r="F478" s="2" t="s">
        <v>17</v>
      </c>
      <c r="G478" s="2" t="s">
        <v>12</v>
      </c>
      <c r="H478" s="2" t="s">
        <v>20</v>
      </c>
      <c r="I478" s="2">
        <f t="shared" si="14"/>
        <v>606.62</v>
      </c>
      <c r="J478" s="2">
        <f t="shared" si="15"/>
        <v>2.0571060395401677</v>
      </c>
    </row>
    <row r="479" spans="1:10" x14ac:dyDescent="0.3">
      <c r="A479" s="1">
        <v>45312</v>
      </c>
      <c r="B479">
        <v>589.98</v>
      </c>
      <c r="C479">
        <v>494.66</v>
      </c>
      <c r="D479">
        <v>9</v>
      </c>
      <c r="E479" s="2" t="s">
        <v>8</v>
      </c>
      <c r="F479" s="2" t="s">
        <v>17</v>
      </c>
      <c r="G479" s="2" t="s">
        <v>14</v>
      </c>
      <c r="H479" s="2" t="s">
        <v>18</v>
      </c>
      <c r="I479" s="2">
        <f t="shared" si="14"/>
        <v>95.32</v>
      </c>
      <c r="J479" s="2">
        <f t="shared" si="15"/>
        <v>0.19269801479804308</v>
      </c>
    </row>
    <row r="480" spans="1:10" x14ac:dyDescent="0.3">
      <c r="A480" s="1">
        <v>45392</v>
      </c>
      <c r="B480">
        <v>637.84</v>
      </c>
      <c r="C480">
        <v>174.31</v>
      </c>
      <c r="D480">
        <v>5</v>
      </c>
      <c r="E480" s="2" t="s">
        <v>13</v>
      </c>
      <c r="F480" s="2" t="s">
        <v>9</v>
      </c>
      <c r="G480" s="2" t="s">
        <v>12</v>
      </c>
      <c r="H480" s="2" t="s">
        <v>15</v>
      </c>
      <c r="I480" s="2">
        <f t="shared" si="14"/>
        <v>463.53000000000003</v>
      </c>
      <c r="J480" s="2">
        <f t="shared" si="15"/>
        <v>2.6592278125179281</v>
      </c>
    </row>
    <row r="481" spans="1:10" x14ac:dyDescent="0.3">
      <c r="A481" s="1">
        <v>45391</v>
      </c>
      <c r="B481">
        <v>124.62</v>
      </c>
      <c r="C481">
        <v>263.7</v>
      </c>
      <c r="D481">
        <v>7</v>
      </c>
      <c r="E481" s="2" t="s">
        <v>13</v>
      </c>
      <c r="F481" s="2" t="s">
        <v>17</v>
      </c>
      <c r="G481" s="2" t="s">
        <v>10</v>
      </c>
      <c r="H481" s="2" t="s">
        <v>15</v>
      </c>
      <c r="I481" s="2">
        <f t="shared" si="14"/>
        <v>-139.07999999999998</v>
      </c>
      <c r="J481" s="2">
        <f t="shared" si="15"/>
        <v>-0.52741751990898744</v>
      </c>
    </row>
    <row r="482" spans="1:10" x14ac:dyDescent="0.3">
      <c r="A482" s="1">
        <v>45348</v>
      </c>
      <c r="B482">
        <v>1042.1300000000001</v>
      </c>
      <c r="C482">
        <v>480.45</v>
      </c>
      <c r="D482">
        <v>8</v>
      </c>
      <c r="E482" s="2" t="s">
        <v>13</v>
      </c>
      <c r="F482" s="2" t="s">
        <v>17</v>
      </c>
      <c r="G482" s="2" t="s">
        <v>12</v>
      </c>
      <c r="H482" s="2" t="s">
        <v>20</v>
      </c>
      <c r="I482" s="2">
        <f t="shared" si="14"/>
        <v>561.68000000000006</v>
      </c>
      <c r="J482" s="2">
        <f t="shared" si="15"/>
        <v>1.1690706629201792</v>
      </c>
    </row>
    <row r="483" spans="1:10" x14ac:dyDescent="0.3">
      <c r="A483" s="1">
        <v>45399</v>
      </c>
      <c r="B483">
        <v>989.5</v>
      </c>
      <c r="C483">
        <v>137.28</v>
      </c>
      <c r="D483">
        <v>8</v>
      </c>
      <c r="E483" s="2" t="s">
        <v>16</v>
      </c>
      <c r="F483" s="2" t="s">
        <v>17</v>
      </c>
      <c r="G483" s="2" t="s">
        <v>14</v>
      </c>
      <c r="H483" s="2" t="s">
        <v>11</v>
      </c>
      <c r="I483" s="2">
        <f t="shared" si="14"/>
        <v>852.22</v>
      </c>
      <c r="J483" s="2">
        <f t="shared" si="15"/>
        <v>6.2078962703962706</v>
      </c>
    </row>
    <row r="484" spans="1:10" x14ac:dyDescent="0.3">
      <c r="A484" s="1">
        <v>45404</v>
      </c>
      <c r="B484">
        <v>636.17999999999995</v>
      </c>
      <c r="C484">
        <v>407.73</v>
      </c>
      <c r="D484">
        <v>8</v>
      </c>
      <c r="E484" s="2" t="s">
        <v>13</v>
      </c>
      <c r="F484" s="2" t="s">
        <v>9</v>
      </c>
      <c r="G484" s="2" t="s">
        <v>19</v>
      </c>
      <c r="H484" s="2" t="s">
        <v>20</v>
      </c>
      <c r="I484" s="2">
        <f t="shared" si="14"/>
        <v>228.44999999999993</v>
      </c>
      <c r="J484" s="2">
        <f t="shared" si="15"/>
        <v>0.56029725553675203</v>
      </c>
    </row>
    <row r="485" spans="1:10" x14ac:dyDescent="0.3">
      <c r="A485" s="1">
        <v>45408</v>
      </c>
      <c r="B485">
        <v>137.85</v>
      </c>
      <c r="C485">
        <v>339.36</v>
      </c>
      <c r="D485">
        <v>4</v>
      </c>
      <c r="E485" s="2" t="s">
        <v>13</v>
      </c>
      <c r="F485" s="2" t="s">
        <v>9</v>
      </c>
      <c r="G485" s="2" t="s">
        <v>14</v>
      </c>
      <c r="H485" s="2" t="s">
        <v>20</v>
      </c>
      <c r="I485" s="2">
        <f t="shared" si="14"/>
        <v>-201.51000000000002</v>
      </c>
      <c r="J485" s="2">
        <f t="shared" si="15"/>
        <v>-0.59379420084865631</v>
      </c>
    </row>
    <row r="486" spans="1:10" x14ac:dyDescent="0.3">
      <c r="A486" s="1">
        <v>45292</v>
      </c>
      <c r="B486">
        <v>185.34</v>
      </c>
      <c r="C486">
        <v>316.92</v>
      </c>
      <c r="D486">
        <v>10</v>
      </c>
      <c r="E486" s="2" t="s">
        <v>13</v>
      </c>
      <c r="F486" s="2" t="s">
        <v>17</v>
      </c>
      <c r="G486" s="2" t="s">
        <v>14</v>
      </c>
      <c r="H486" s="2" t="s">
        <v>15</v>
      </c>
      <c r="I486" s="2">
        <f t="shared" si="14"/>
        <v>-131.58000000000001</v>
      </c>
      <c r="J486" s="2">
        <f t="shared" si="15"/>
        <v>-0.41518364255963652</v>
      </c>
    </row>
    <row r="487" spans="1:10" x14ac:dyDescent="0.3">
      <c r="A487" s="1">
        <v>45313</v>
      </c>
      <c r="B487">
        <v>370.76</v>
      </c>
      <c r="C487">
        <v>288.25</v>
      </c>
      <c r="D487">
        <v>3</v>
      </c>
      <c r="E487" s="2" t="s">
        <v>16</v>
      </c>
      <c r="F487" s="2" t="s">
        <v>17</v>
      </c>
      <c r="G487" s="2" t="s">
        <v>19</v>
      </c>
      <c r="H487" s="2" t="s">
        <v>11</v>
      </c>
      <c r="I487" s="2">
        <f t="shared" si="14"/>
        <v>82.509999999999991</v>
      </c>
      <c r="J487" s="2">
        <f t="shared" si="15"/>
        <v>0.28624457935819597</v>
      </c>
    </row>
    <row r="488" spans="1:10" x14ac:dyDescent="0.3">
      <c r="A488" s="1">
        <v>45354</v>
      </c>
      <c r="B488">
        <v>766.03</v>
      </c>
      <c r="C488">
        <v>373.73</v>
      </c>
      <c r="D488">
        <v>0</v>
      </c>
      <c r="E488" s="2" t="s">
        <v>13</v>
      </c>
      <c r="F488" s="2" t="s">
        <v>9</v>
      </c>
      <c r="G488" s="2" t="s">
        <v>12</v>
      </c>
      <c r="H488" s="2" t="s">
        <v>20</v>
      </c>
      <c r="I488" s="2">
        <f t="shared" si="14"/>
        <v>392.29999999999995</v>
      </c>
      <c r="J488" s="2">
        <f t="shared" si="15"/>
        <v>1.0496882776335856</v>
      </c>
    </row>
    <row r="489" spans="1:10" x14ac:dyDescent="0.3">
      <c r="A489" s="1">
        <v>45370</v>
      </c>
      <c r="B489">
        <v>904.89</v>
      </c>
      <c r="C489">
        <v>259.8</v>
      </c>
      <c r="D489">
        <v>5</v>
      </c>
      <c r="E489" s="2" t="s">
        <v>16</v>
      </c>
      <c r="F489" s="2" t="s">
        <v>17</v>
      </c>
      <c r="G489" s="2" t="s">
        <v>10</v>
      </c>
      <c r="H489" s="2" t="s">
        <v>18</v>
      </c>
      <c r="I489" s="2">
        <f t="shared" si="14"/>
        <v>645.08999999999992</v>
      </c>
      <c r="J489" s="2">
        <f t="shared" si="15"/>
        <v>2.4830254041570434</v>
      </c>
    </row>
    <row r="490" spans="1:10" x14ac:dyDescent="0.3">
      <c r="A490" s="1">
        <v>45407</v>
      </c>
      <c r="B490">
        <v>463.4</v>
      </c>
      <c r="C490">
        <v>325.36</v>
      </c>
      <c r="D490">
        <v>9</v>
      </c>
      <c r="E490" s="2" t="s">
        <v>16</v>
      </c>
      <c r="F490" s="2" t="s">
        <v>17</v>
      </c>
      <c r="G490" s="2" t="s">
        <v>14</v>
      </c>
      <c r="H490" s="2" t="s">
        <v>15</v>
      </c>
      <c r="I490" s="2">
        <f t="shared" si="14"/>
        <v>138.03999999999996</v>
      </c>
      <c r="J490" s="2">
        <f t="shared" si="15"/>
        <v>0.42426850258175547</v>
      </c>
    </row>
    <row r="491" spans="1:10" x14ac:dyDescent="0.3">
      <c r="A491" s="1">
        <v>45300</v>
      </c>
      <c r="B491">
        <v>1181.92</v>
      </c>
      <c r="C491">
        <v>475.57</v>
      </c>
      <c r="D491">
        <v>4</v>
      </c>
      <c r="E491" s="2" t="s">
        <v>13</v>
      </c>
      <c r="F491" s="2" t="s">
        <v>9</v>
      </c>
      <c r="G491" s="2" t="s">
        <v>14</v>
      </c>
      <c r="H491" s="2" t="s">
        <v>15</v>
      </c>
      <c r="I491" s="2">
        <f t="shared" si="14"/>
        <v>706.35000000000014</v>
      </c>
      <c r="J491" s="2">
        <f t="shared" si="15"/>
        <v>1.4852703072102953</v>
      </c>
    </row>
    <row r="492" spans="1:10" x14ac:dyDescent="0.3">
      <c r="A492" s="1">
        <v>45321</v>
      </c>
      <c r="B492">
        <v>1306.18</v>
      </c>
      <c r="C492">
        <v>431.54</v>
      </c>
      <c r="D492">
        <v>6</v>
      </c>
      <c r="E492" s="2" t="s">
        <v>16</v>
      </c>
      <c r="F492" s="2" t="s">
        <v>17</v>
      </c>
      <c r="G492" s="2" t="s">
        <v>10</v>
      </c>
      <c r="H492" s="2" t="s">
        <v>15</v>
      </c>
      <c r="I492" s="2">
        <f t="shared" si="14"/>
        <v>874.6400000000001</v>
      </c>
      <c r="J492" s="2">
        <f t="shared" si="15"/>
        <v>2.0267877832877601</v>
      </c>
    </row>
    <row r="493" spans="1:10" x14ac:dyDescent="0.3">
      <c r="A493" s="1">
        <v>45354</v>
      </c>
      <c r="B493">
        <v>1460.82</v>
      </c>
      <c r="C493">
        <v>174.53</v>
      </c>
      <c r="D493">
        <v>9</v>
      </c>
      <c r="E493" s="2" t="s">
        <v>16</v>
      </c>
      <c r="F493" s="2" t="s">
        <v>9</v>
      </c>
      <c r="G493" s="2" t="s">
        <v>19</v>
      </c>
      <c r="H493" s="2" t="s">
        <v>15</v>
      </c>
      <c r="I493" s="2">
        <f t="shared" si="14"/>
        <v>1286.29</v>
      </c>
      <c r="J493" s="2">
        <f t="shared" si="15"/>
        <v>7.3700223457285281</v>
      </c>
    </row>
    <row r="494" spans="1:10" x14ac:dyDescent="0.3">
      <c r="A494" s="1">
        <v>45301</v>
      </c>
      <c r="B494">
        <v>1223.83</v>
      </c>
      <c r="C494">
        <v>246.64</v>
      </c>
      <c r="D494">
        <v>5</v>
      </c>
      <c r="E494" s="2" t="s">
        <v>8</v>
      </c>
      <c r="F494" s="2" t="s">
        <v>9</v>
      </c>
      <c r="G494" s="2" t="s">
        <v>14</v>
      </c>
      <c r="H494" s="2" t="s">
        <v>18</v>
      </c>
      <c r="I494" s="2">
        <f t="shared" si="14"/>
        <v>977.18999999999994</v>
      </c>
      <c r="J494" s="2">
        <f t="shared" si="15"/>
        <v>3.9620094064223159</v>
      </c>
    </row>
    <row r="495" spans="1:10" x14ac:dyDescent="0.3">
      <c r="A495" s="1">
        <v>45361</v>
      </c>
      <c r="B495">
        <v>600.99</v>
      </c>
      <c r="C495">
        <v>148.09</v>
      </c>
      <c r="D495">
        <v>2</v>
      </c>
      <c r="E495" s="2" t="s">
        <v>13</v>
      </c>
      <c r="F495" s="2" t="s">
        <v>17</v>
      </c>
      <c r="G495" s="2" t="s">
        <v>19</v>
      </c>
      <c r="H495" s="2" t="s">
        <v>11</v>
      </c>
      <c r="I495" s="2">
        <f t="shared" si="14"/>
        <v>452.9</v>
      </c>
      <c r="J495" s="2">
        <f t="shared" si="15"/>
        <v>3.0582753730839354</v>
      </c>
    </row>
    <row r="496" spans="1:10" x14ac:dyDescent="0.3">
      <c r="A496" s="1">
        <v>45405</v>
      </c>
      <c r="B496">
        <v>337.88</v>
      </c>
      <c r="C496">
        <v>70.290000000000006</v>
      </c>
      <c r="D496">
        <v>7</v>
      </c>
      <c r="E496" s="2" t="s">
        <v>8</v>
      </c>
      <c r="F496" s="2" t="s">
        <v>9</v>
      </c>
      <c r="G496" s="2" t="s">
        <v>12</v>
      </c>
      <c r="H496" s="2" t="s">
        <v>15</v>
      </c>
      <c r="I496" s="2">
        <f t="shared" si="14"/>
        <v>267.58999999999997</v>
      </c>
      <c r="J496" s="2">
        <f t="shared" si="15"/>
        <v>3.8069426660975951</v>
      </c>
    </row>
    <row r="497" spans="1:10" x14ac:dyDescent="0.3">
      <c r="A497" s="1">
        <v>45297</v>
      </c>
      <c r="B497">
        <v>704.16</v>
      </c>
      <c r="C497">
        <v>355.69</v>
      </c>
      <c r="D497">
        <v>5</v>
      </c>
      <c r="E497" s="2" t="s">
        <v>13</v>
      </c>
      <c r="F497" s="2" t="s">
        <v>9</v>
      </c>
      <c r="G497" s="2" t="s">
        <v>14</v>
      </c>
      <c r="H497" s="2" t="s">
        <v>18</v>
      </c>
      <c r="I497" s="2">
        <f t="shared" si="14"/>
        <v>348.46999999999997</v>
      </c>
      <c r="J497" s="2">
        <f t="shared" si="15"/>
        <v>0.97970142539852112</v>
      </c>
    </row>
    <row r="498" spans="1:10" x14ac:dyDescent="0.3">
      <c r="A498" s="1">
        <v>45403</v>
      </c>
      <c r="B498">
        <v>522.20000000000005</v>
      </c>
      <c r="C498">
        <v>478.03</v>
      </c>
      <c r="D498">
        <v>2</v>
      </c>
      <c r="E498" s="2" t="s">
        <v>16</v>
      </c>
      <c r="F498" s="2" t="s">
        <v>17</v>
      </c>
      <c r="G498" s="2" t="s">
        <v>12</v>
      </c>
      <c r="H498" s="2" t="s">
        <v>11</v>
      </c>
      <c r="I498" s="2">
        <f t="shared" si="14"/>
        <v>44.170000000000073</v>
      </c>
      <c r="J498" s="2">
        <f t="shared" si="15"/>
        <v>9.2400058573729835E-2</v>
      </c>
    </row>
    <row r="499" spans="1:10" x14ac:dyDescent="0.3">
      <c r="A499" s="1">
        <v>45367</v>
      </c>
      <c r="B499">
        <v>545.9</v>
      </c>
      <c r="C499">
        <v>248.61</v>
      </c>
      <c r="D499">
        <v>3</v>
      </c>
      <c r="E499" s="2" t="s">
        <v>8</v>
      </c>
      <c r="F499" s="2" t="s">
        <v>17</v>
      </c>
      <c r="G499" s="2" t="s">
        <v>10</v>
      </c>
      <c r="H499" s="2" t="s">
        <v>15</v>
      </c>
      <c r="I499" s="2">
        <f t="shared" si="14"/>
        <v>297.28999999999996</v>
      </c>
      <c r="J499" s="2">
        <f t="shared" si="15"/>
        <v>1.1958086963517154</v>
      </c>
    </row>
    <row r="500" spans="1:10" x14ac:dyDescent="0.3">
      <c r="A500" s="1">
        <v>45334</v>
      </c>
      <c r="B500">
        <v>1043.2</v>
      </c>
      <c r="C500">
        <v>474.36</v>
      </c>
      <c r="D500">
        <v>5</v>
      </c>
      <c r="E500" s="2" t="s">
        <v>16</v>
      </c>
      <c r="F500" s="2" t="s">
        <v>9</v>
      </c>
      <c r="G500" s="2" t="s">
        <v>19</v>
      </c>
      <c r="H500" s="2" t="s">
        <v>15</v>
      </c>
      <c r="I500" s="2">
        <f t="shared" si="14"/>
        <v>568.84</v>
      </c>
      <c r="J500" s="2">
        <f t="shared" si="15"/>
        <v>1.1991736234083819</v>
      </c>
    </row>
    <row r="501" spans="1:10" x14ac:dyDescent="0.3">
      <c r="A501" s="1">
        <v>45378</v>
      </c>
      <c r="B501">
        <v>96.42</v>
      </c>
      <c r="C501">
        <v>300.20999999999998</v>
      </c>
      <c r="D501">
        <v>3</v>
      </c>
      <c r="E501" s="2" t="s">
        <v>8</v>
      </c>
      <c r="F501" s="2" t="s">
        <v>17</v>
      </c>
      <c r="G501" s="2" t="s">
        <v>19</v>
      </c>
      <c r="H501" s="2" t="s">
        <v>18</v>
      </c>
      <c r="I501" s="2">
        <f t="shared" si="14"/>
        <v>-203.78999999999996</v>
      </c>
      <c r="J501" s="2">
        <f t="shared" si="15"/>
        <v>-0.67882482262416299</v>
      </c>
    </row>
    <row r="502" spans="1:10" x14ac:dyDescent="0.3">
      <c r="A502" s="1">
        <v>45379</v>
      </c>
      <c r="B502">
        <v>527.89</v>
      </c>
      <c r="C502">
        <v>400.84</v>
      </c>
      <c r="D502">
        <v>0</v>
      </c>
      <c r="E502" s="2" t="s">
        <v>13</v>
      </c>
      <c r="F502" s="2" t="s">
        <v>9</v>
      </c>
      <c r="G502" s="2" t="s">
        <v>19</v>
      </c>
      <c r="H502" s="2" t="s">
        <v>11</v>
      </c>
      <c r="I502" s="2">
        <f t="shared" si="14"/>
        <v>127.05000000000001</v>
      </c>
      <c r="J502" s="2">
        <f t="shared" si="15"/>
        <v>0.31695938529088918</v>
      </c>
    </row>
    <row r="503" spans="1:10" x14ac:dyDescent="0.3">
      <c r="A503" s="1">
        <v>45380</v>
      </c>
      <c r="B503">
        <v>1162.07</v>
      </c>
      <c r="C503">
        <v>39.56</v>
      </c>
      <c r="D503">
        <v>10</v>
      </c>
      <c r="E503" s="2" t="s">
        <v>8</v>
      </c>
      <c r="F503" s="2" t="s">
        <v>9</v>
      </c>
      <c r="G503" s="2" t="s">
        <v>10</v>
      </c>
      <c r="H503" s="2" t="s">
        <v>15</v>
      </c>
      <c r="I503" s="2">
        <f t="shared" si="14"/>
        <v>1122.51</v>
      </c>
      <c r="J503" s="2">
        <f t="shared" si="15"/>
        <v>28.374873609706771</v>
      </c>
    </row>
    <row r="504" spans="1:10" x14ac:dyDescent="0.3">
      <c r="A504" s="1">
        <v>45380</v>
      </c>
      <c r="B504">
        <v>381.79</v>
      </c>
      <c r="C504">
        <v>469.85</v>
      </c>
      <c r="D504">
        <v>9</v>
      </c>
      <c r="E504" s="2" t="s">
        <v>8</v>
      </c>
      <c r="F504" s="2" t="s">
        <v>17</v>
      </c>
      <c r="G504" s="2" t="s">
        <v>10</v>
      </c>
      <c r="H504" s="2" t="s">
        <v>18</v>
      </c>
      <c r="I504" s="2">
        <f t="shared" si="14"/>
        <v>-88.06</v>
      </c>
      <c r="J504" s="2">
        <f t="shared" si="15"/>
        <v>-0.18742151750558689</v>
      </c>
    </row>
    <row r="505" spans="1:10" x14ac:dyDescent="0.3">
      <c r="A505" s="1">
        <v>45401</v>
      </c>
      <c r="B505">
        <v>509.38</v>
      </c>
      <c r="C505">
        <v>423.04</v>
      </c>
      <c r="D505">
        <v>1</v>
      </c>
      <c r="E505" s="2" t="s">
        <v>13</v>
      </c>
      <c r="F505" s="2" t="s">
        <v>9</v>
      </c>
      <c r="G505" s="2" t="s">
        <v>14</v>
      </c>
      <c r="H505" s="2" t="s">
        <v>20</v>
      </c>
      <c r="I505" s="2">
        <f t="shared" si="14"/>
        <v>86.339999999999975</v>
      </c>
      <c r="J505" s="2">
        <f t="shared" si="15"/>
        <v>0.20409417549167921</v>
      </c>
    </row>
    <row r="506" spans="1:10" x14ac:dyDescent="0.3">
      <c r="A506" s="1">
        <v>45373</v>
      </c>
      <c r="B506">
        <v>388.1</v>
      </c>
      <c r="C506">
        <v>348.63</v>
      </c>
      <c r="D506">
        <v>7</v>
      </c>
      <c r="E506" s="2" t="s">
        <v>16</v>
      </c>
      <c r="F506" s="2" t="s">
        <v>9</v>
      </c>
      <c r="G506" s="2" t="s">
        <v>10</v>
      </c>
      <c r="H506" s="2" t="s">
        <v>20</v>
      </c>
      <c r="I506" s="2">
        <f t="shared" si="14"/>
        <v>39.470000000000027</v>
      </c>
      <c r="J506" s="2">
        <f t="shared" si="15"/>
        <v>0.11321458279551395</v>
      </c>
    </row>
    <row r="507" spans="1:10" x14ac:dyDescent="0.3">
      <c r="A507" s="1">
        <v>45304</v>
      </c>
      <c r="B507">
        <v>1475.83</v>
      </c>
      <c r="C507">
        <v>423.42</v>
      </c>
      <c r="D507">
        <v>2</v>
      </c>
      <c r="E507" s="2" t="s">
        <v>8</v>
      </c>
      <c r="F507" s="2" t="s">
        <v>9</v>
      </c>
      <c r="G507" s="2" t="s">
        <v>19</v>
      </c>
      <c r="H507" s="2" t="s">
        <v>15</v>
      </c>
      <c r="I507" s="2">
        <f t="shared" si="14"/>
        <v>1052.4099999999999</v>
      </c>
      <c r="J507" s="2">
        <f t="shared" si="15"/>
        <v>2.4854990316942982</v>
      </c>
    </row>
    <row r="508" spans="1:10" x14ac:dyDescent="0.3">
      <c r="A508" s="1">
        <v>45317</v>
      </c>
      <c r="B508">
        <v>958.52</v>
      </c>
      <c r="C508">
        <v>396.8</v>
      </c>
      <c r="D508">
        <v>1</v>
      </c>
      <c r="E508" s="2" t="s">
        <v>13</v>
      </c>
      <c r="F508" s="2" t="s">
        <v>17</v>
      </c>
      <c r="G508" s="2" t="s">
        <v>14</v>
      </c>
      <c r="H508" s="2" t="s">
        <v>18</v>
      </c>
      <c r="I508" s="2">
        <f t="shared" si="14"/>
        <v>561.72</v>
      </c>
      <c r="J508" s="2">
        <f t="shared" si="15"/>
        <v>1.4156250000000001</v>
      </c>
    </row>
    <row r="509" spans="1:10" x14ac:dyDescent="0.3">
      <c r="A509" s="1">
        <v>45301</v>
      </c>
      <c r="B509">
        <v>919.08</v>
      </c>
      <c r="C509">
        <v>181.42</v>
      </c>
      <c r="D509">
        <v>3</v>
      </c>
      <c r="E509" s="2" t="s">
        <v>16</v>
      </c>
      <c r="F509" s="2" t="s">
        <v>9</v>
      </c>
      <c r="G509" s="2" t="s">
        <v>19</v>
      </c>
      <c r="H509" s="2" t="s">
        <v>11</v>
      </c>
      <c r="I509" s="2">
        <f t="shared" si="14"/>
        <v>737.66000000000008</v>
      </c>
      <c r="J509" s="2">
        <f t="shared" si="15"/>
        <v>4.066034615808622</v>
      </c>
    </row>
    <row r="510" spans="1:10" x14ac:dyDescent="0.3">
      <c r="A510" s="1">
        <v>45296</v>
      </c>
      <c r="B510">
        <v>1083.8</v>
      </c>
      <c r="C510">
        <v>133.63999999999999</v>
      </c>
      <c r="D510">
        <v>9</v>
      </c>
      <c r="E510" s="2" t="s">
        <v>13</v>
      </c>
      <c r="F510" s="2" t="s">
        <v>17</v>
      </c>
      <c r="G510" s="2" t="s">
        <v>10</v>
      </c>
      <c r="H510" s="2" t="s">
        <v>15</v>
      </c>
      <c r="I510" s="2">
        <f t="shared" si="14"/>
        <v>950.16</v>
      </c>
      <c r="J510" s="2">
        <f t="shared" si="15"/>
        <v>7.1098473510924878</v>
      </c>
    </row>
    <row r="511" spans="1:10" x14ac:dyDescent="0.3">
      <c r="A511" s="1">
        <v>45329</v>
      </c>
      <c r="B511">
        <v>193.83</v>
      </c>
      <c r="C511">
        <v>121.45</v>
      </c>
      <c r="D511">
        <v>6</v>
      </c>
      <c r="E511" s="2" t="s">
        <v>16</v>
      </c>
      <c r="F511" s="2" t="s">
        <v>17</v>
      </c>
      <c r="G511" s="2" t="s">
        <v>19</v>
      </c>
      <c r="H511" s="2" t="s">
        <v>18</v>
      </c>
      <c r="I511" s="2">
        <f t="shared" si="14"/>
        <v>72.38000000000001</v>
      </c>
      <c r="J511" s="2">
        <f t="shared" si="15"/>
        <v>0.59596541786743518</v>
      </c>
    </row>
    <row r="512" spans="1:10" x14ac:dyDescent="0.3">
      <c r="A512" s="1">
        <v>45299</v>
      </c>
      <c r="B512">
        <v>1253.92</v>
      </c>
      <c r="C512">
        <v>140.38999999999999</v>
      </c>
      <c r="D512">
        <v>3</v>
      </c>
      <c r="E512" s="2" t="s">
        <v>13</v>
      </c>
      <c r="F512" s="2" t="s">
        <v>17</v>
      </c>
      <c r="G512" s="2" t="s">
        <v>10</v>
      </c>
      <c r="H512" s="2" t="s">
        <v>11</v>
      </c>
      <c r="I512" s="2">
        <f t="shared" si="14"/>
        <v>1113.5300000000002</v>
      </c>
      <c r="J512" s="2">
        <f t="shared" si="15"/>
        <v>7.9316902913312939</v>
      </c>
    </row>
    <row r="513" spans="1:10" x14ac:dyDescent="0.3">
      <c r="A513" s="1">
        <v>45390</v>
      </c>
      <c r="B513">
        <v>490.72</v>
      </c>
      <c r="C513">
        <v>119.49</v>
      </c>
      <c r="D513">
        <v>6</v>
      </c>
      <c r="E513" s="2" t="s">
        <v>8</v>
      </c>
      <c r="F513" s="2" t="s">
        <v>17</v>
      </c>
      <c r="G513" s="2" t="s">
        <v>12</v>
      </c>
      <c r="H513" s="2" t="s">
        <v>18</v>
      </c>
      <c r="I513" s="2">
        <f t="shared" si="14"/>
        <v>371.23</v>
      </c>
      <c r="J513" s="2">
        <f t="shared" si="15"/>
        <v>3.106787178843418</v>
      </c>
    </row>
    <row r="514" spans="1:10" x14ac:dyDescent="0.3">
      <c r="A514" s="1">
        <v>45412</v>
      </c>
      <c r="B514">
        <v>948.88</v>
      </c>
      <c r="C514">
        <v>388.77</v>
      </c>
      <c r="D514">
        <v>9</v>
      </c>
      <c r="E514" s="2" t="s">
        <v>8</v>
      </c>
      <c r="F514" s="2" t="s">
        <v>17</v>
      </c>
      <c r="G514" s="2" t="s">
        <v>10</v>
      </c>
      <c r="H514" s="2" t="s">
        <v>15</v>
      </c>
      <c r="I514" s="2">
        <f t="shared" ref="I514:I577" si="16">B514-C514</f>
        <v>560.11</v>
      </c>
      <c r="J514" s="2">
        <f t="shared" ref="J514:J577" si="17">IF(C514=0,0,I514/C514)</f>
        <v>1.4407233068395195</v>
      </c>
    </row>
    <row r="515" spans="1:10" x14ac:dyDescent="0.3">
      <c r="A515" s="1">
        <v>45362</v>
      </c>
      <c r="B515">
        <v>1037.93</v>
      </c>
      <c r="C515">
        <v>311.19</v>
      </c>
      <c r="D515">
        <v>8</v>
      </c>
      <c r="E515" s="2" t="s">
        <v>13</v>
      </c>
      <c r="F515" s="2" t="s">
        <v>9</v>
      </c>
      <c r="G515" s="2" t="s">
        <v>14</v>
      </c>
      <c r="H515" s="2" t="s">
        <v>18</v>
      </c>
      <c r="I515" s="2">
        <f t="shared" si="16"/>
        <v>726.74</v>
      </c>
      <c r="J515" s="2">
        <f t="shared" si="17"/>
        <v>2.335357819981362</v>
      </c>
    </row>
    <row r="516" spans="1:10" x14ac:dyDescent="0.3">
      <c r="A516" s="1">
        <v>45390</v>
      </c>
      <c r="B516">
        <v>104.3</v>
      </c>
      <c r="C516">
        <v>385.02</v>
      </c>
      <c r="D516">
        <v>7</v>
      </c>
      <c r="E516" s="2" t="s">
        <v>8</v>
      </c>
      <c r="F516" s="2" t="s">
        <v>9</v>
      </c>
      <c r="G516" s="2" t="s">
        <v>14</v>
      </c>
      <c r="H516" s="2" t="s">
        <v>20</v>
      </c>
      <c r="I516" s="2">
        <f t="shared" si="16"/>
        <v>-280.71999999999997</v>
      </c>
      <c r="J516" s="2">
        <f t="shared" si="17"/>
        <v>-0.72910498155939951</v>
      </c>
    </row>
    <row r="517" spans="1:10" x14ac:dyDescent="0.3">
      <c r="A517" s="1">
        <v>45331</v>
      </c>
      <c r="B517">
        <v>884.7</v>
      </c>
      <c r="C517">
        <v>134.72</v>
      </c>
      <c r="D517">
        <v>10</v>
      </c>
      <c r="E517" s="2" t="s">
        <v>8</v>
      </c>
      <c r="F517" s="2" t="s">
        <v>17</v>
      </c>
      <c r="G517" s="2" t="s">
        <v>14</v>
      </c>
      <c r="H517" s="2" t="s">
        <v>20</v>
      </c>
      <c r="I517" s="2">
        <f t="shared" si="16"/>
        <v>749.98</v>
      </c>
      <c r="J517" s="2">
        <f t="shared" si="17"/>
        <v>5.5669536817102143</v>
      </c>
    </row>
    <row r="518" spans="1:10" x14ac:dyDescent="0.3">
      <c r="A518" s="1">
        <v>45344</v>
      </c>
      <c r="B518">
        <v>1275.1300000000001</v>
      </c>
      <c r="C518">
        <v>85</v>
      </c>
      <c r="D518">
        <v>8</v>
      </c>
      <c r="E518" s="2" t="s">
        <v>8</v>
      </c>
      <c r="F518" s="2" t="s">
        <v>17</v>
      </c>
      <c r="G518" s="2" t="s">
        <v>14</v>
      </c>
      <c r="H518" s="2" t="s">
        <v>11</v>
      </c>
      <c r="I518" s="2">
        <f t="shared" si="16"/>
        <v>1190.1300000000001</v>
      </c>
      <c r="J518" s="2">
        <f t="shared" si="17"/>
        <v>14.001529411764707</v>
      </c>
    </row>
    <row r="519" spans="1:10" x14ac:dyDescent="0.3">
      <c r="A519" s="1">
        <v>45318</v>
      </c>
      <c r="B519">
        <v>800.48</v>
      </c>
      <c r="C519">
        <v>274.74</v>
      </c>
      <c r="D519">
        <v>9</v>
      </c>
      <c r="E519" s="2" t="s">
        <v>8</v>
      </c>
      <c r="F519" s="2" t="s">
        <v>17</v>
      </c>
      <c r="G519" s="2" t="s">
        <v>12</v>
      </c>
      <c r="H519" s="2" t="s">
        <v>20</v>
      </c>
      <c r="I519" s="2">
        <f t="shared" si="16"/>
        <v>525.74</v>
      </c>
      <c r="J519" s="2">
        <f t="shared" si="17"/>
        <v>1.9135910315207105</v>
      </c>
    </row>
    <row r="520" spans="1:10" x14ac:dyDescent="0.3">
      <c r="A520" s="1">
        <v>45336</v>
      </c>
      <c r="B520">
        <v>619.27</v>
      </c>
      <c r="C520">
        <v>58.86</v>
      </c>
      <c r="D520">
        <v>4</v>
      </c>
      <c r="E520" s="2" t="s">
        <v>8</v>
      </c>
      <c r="F520" s="2" t="s">
        <v>17</v>
      </c>
      <c r="G520" s="2" t="s">
        <v>19</v>
      </c>
      <c r="H520" s="2" t="s">
        <v>15</v>
      </c>
      <c r="I520" s="2">
        <f t="shared" si="16"/>
        <v>560.41</v>
      </c>
      <c r="J520" s="2">
        <f t="shared" si="17"/>
        <v>9.5210669384981301</v>
      </c>
    </row>
    <row r="521" spans="1:10" x14ac:dyDescent="0.3">
      <c r="A521" s="1">
        <v>45301</v>
      </c>
      <c r="B521">
        <v>714.44</v>
      </c>
      <c r="C521">
        <v>290.91000000000003</v>
      </c>
      <c r="D521">
        <v>3</v>
      </c>
      <c r="E521" s="2" t="s">
        <v>8</v>
      </c>
      <c r="F521" s="2" t="s">
        <v>9</v>
      </c>
      <c r="G521" s="2" t="s">
        <v>10</v>
      </c>
      <c r="H521" s="2" t="s">
        <v>20</v>
      </c>
      <c r="I521" s="2">
        <f t="shared" si="16"/>
        <v>423.53000000000003</v>
      </c>
      <c r="J521" s="2">
        <f t="shared" si="17"/>
        <v>1.4558798253755456</v>
      </c>
    </row>
    <row r="522" spans="1:10" x14ac:dyDescent="0.3">
      <c r="A522" s="1">
        <v>45328</v>
      </c>
      <c r="B522">
        <v>1248.58</v>
      </c>
      <c r="C522">
        <v>19.100000000000001</v>
      </c>
      <c r="D522">
        <v>10</v>
      </c>
      <c r="E522" s="2" t="s">
        <v>16</v>
      </c>
      <c r="F522" s="2" t="s">
        <v>17</v>
      </c>
      <c r="G522" s="2" t="s">
        <v>14</v>
      </c>
      <c r="H522" s="2" t="s">
        <v>11</v>
      </c>
      <c r="I522" s="2">
        <f t="shared" si="16"/>
        <v>1229.48</v>
      </c>
      <c r="J522" s="2">
        <f t="shared" si="17"/>
        <v>64.370680628272254</v>
      </c>
    </row>
    <row r="523" spans="1:10" x14ac:dyDescent="0.3">
      <c r="A523" s="1">
        <v>45315</v>
      </c>
      <c r="B523">
        <v>1134.79</v>
      </c>
      <c r="C523">
        <v>203.71</v>
      </c>
      <c r="D523">
        <v>1</v>
      </c>
      <c r="E523" s="2" t="s">
        <v>16</v>
      </c>
      <c r="F523" s="2" t="s">
        <v>9</v>
      </c>
      <c r="G523" s="2" t="s">
        <v>14</v>
      </c>
      <c r="H523" s="2" t="s">
        <v>20</v>
      </c>
      <c r="I523" s="2">
        <f t="shared" si="16"/>
        <v>931.07999999999993</v>
      </c>
      <c r="J523" s="2">
        <f t="shared" si="17"/>
        <v>4.5706150900790332</v>
      </c>
    </row>
    <row r="524" spans="1:10" x14ac:dyDescent="0.3">
      <c r="A524" s="1">
        <v>45328</v>
      </c>
      <c r="B524">
        <v>630.46</v>
      </c>
      <c r="C524">
        <v>65.510000000000005</v>
      </c>
      <c r="D524">
        <v>10</v>
      </c>
      <c r="E524" s="2" t="s">
        <v>13</v>
      </c>
      <c r="F524" s="2" t="s">
        <v>9</v>
      </c>
      <c r="G524" s="2" t="s">
        <v>14</v>
      </c>
      <c r="H524" s="2" t="s">
        <v>15</v>
      </c>
      <c r="I524" s="2">
        <f t="shared" si="16"/>
        <v>564.95000000000005</v>
      </c>
      <c r="J524" s="2">
        <f t="shared" si="17"/>
        <v>8.6238742176766898</v>
      </c>
    </row>
    <row r="525" spans="1:10" x14ac:dyDescent="0.3">
      <c r="A525" s="1">
        <v>45318</v>
      </c>
      <c r="B525">
        <v>56.09</v>
      </c>
      <c r="C525">
        <v>109.83</v>
      </c>
      <c r="D525">
        <v>0</v>
      </c>
      <c r="E525" s="2" t="s">
        <v>8</v>
      </c>
      <c r="F525" s="2" t="s">
        <v>17</v>
      </c>
      <c r="G525" s="2" t="s">
        <v>19</v>
      </c>
      <c r="H525" s="2" t="s">
        <v>18</v>
      </c>
      <c r="I525" s="2">
        <f t="shared" si="16"/>
        <v>-53.739999999999995</v>
      </c>
      <c r="J525" s="2">
        <f t="shared" si="17"/>
        <v>-0.48930164800145676</v>
      </c>
    </row>
    <row r="526" spans="1:10" x14ac:dyDescent="0.3">
      <c r="A526" s="1">
        <v>45312</v>
      </c>
      <c r="B526">
        <v>107.1</v>
      </c>
      <c r="C526">
        <v>283.20999999999998</v>
      </c>
      <c r="D526">
        <v>4</v>
      </c>
      <c r="E526" s="2" t="s">
        <v>8</v>
      </c>
      <c r="F526" s="2" t="s">
        <v>17</v>
      </c>
      <c r="G526" s="2" t="s">
        <v>14</v>
      </c>
      <c r="H526" s="2" t="s">
        <v>18</v>
      </c>
      <c r="I526" s="2">
        <f t="shared" si="16"/>
        <v>-176.10999999999999</v>
      </c>
      <c r="J526" s="2">
        <f t="shared" si="17"/>
        <v>-0.62183538716853215</v>
      </c>
    </row>
    <row r="527" spans="1:10" x14ac:dyDescent="0.3">
      <c r="A527" s="1">
        <v>45348</v>
      </c>
      <c r="B527">
        <v>1311.57</v>
      </c>
      <c r="C527">
        <v>393.29</v>
      </c>
      <c r="D527">
        <v>2</v>
      </c>
      <c r="E527" s="2" t="s">
        <v>13</v>
      </c>
      <c r="F527" s="2" t="s">
        <v>9</v>
      </c>
      <c r="G527" s="2" t="s">
        <v>10</v>
      </c>
      <c r="H527" s="2" t="s">
        <v>18</v>
      </c>
      <c r="I527" s="2">
        <f t="shared" si="16"/>
        <v>918.28</v>
      </c>
      <c r="J527" s="2">
        <f t="shared" si="17"/>
        <v>2.3348674006458339</v>
      </c>
    </row>
    <row r="528" spans="1:10" x14ac:dyDescent="0.3">
      <c r="A528" s="1">
        <v>45347</v>
      </c>
      <c r="B528">
        <v>1179.3699999999999</v>
      </c>
      <c r="C528">
        <v>367.76</v>
      </c>
      <c r="D528">
        <v>6</v>
      </c>
      <c r="E528" s="2" t="s">
        <v>16</v>
      </c>
      <c r="F528" s="2" t="s">
        <v>17</v>
      </c>
      <c r="G528" s="2" t="s">
        <v>10</v>
      </c>
      <c r="H528" s="2" t="s">
        <v>15</v>
      </c>
      <c r="I528" s="2">
        <f t="shared" si="16"/>
        <v>811.6099999999999</v>
      </c>
      <c r="J528" s="2">
        <f t="shared" si="17"/>
        <v>2.2069012399390906</v>
      </c>
    </row>
    <row r="529" spans="1:10" x14ac:dyDescent="0.3">
      <c r="A529" s="1">
        <v>45388</v>
      </c>
      <c r="B529">
        <v>741.93</v>
      </c>
      <c r="C529">
        <v>458.02</v>
      </c>
      <c r="D529">
        <v>8</v>
      </c>
      <c r="E529" s="2" t="s">
        <v>8</v>
      </c>
      <c r="F529" s="2" t="s">
        <v>17</v>
      </c>
      <c r="G529" s="2" t="s">
        <v>14</v>
      </c>
      <c r="H529" s="2" t="s">
        <v>11</v>
      </c>
      <c r="I529" s="2">
        <f t="shared" si="16"/>
        <v>283.90999999999997</v>
      </c>
      <c r="J529" s="2">
        <f t="shared" si="17"/>
        <v>0.61986376140779875</v>
      </c>
    </row>
    <row r="530" spans="1:10" x14ac:dyDescent="0.3">
      <c r="A530" s="1">
        <v>45377</v>
      </c>
      <c r="B530">
        <v>128.79</v>
      </c>
      <c r="C530">
        <v>270.19</v>
      </c>
      <c r="D530">
        <v>2</v>
      </c>
      <c r="E530" s="2" t="s">
        <v>13</v>
      </c>
      <c r="F530" s="2" t="s">
        <v>17</v>
      </c>
      <c r="G530" s="2" t="s">
        <v>19</v>
      </c>
      <c r="H530" s="2" t="s">
        <v>18</v>
      </c>
      <c r="I530" s="2">
        <f t="shared" si="16"/>
        <v>-141.4</v>
      </c>
      <c r="J530" s="2">
        <f t="shared" si="17"/>
        <v>-0.523335430622895</v>
      </c>
    </row>
    <row r="531" spans="1:10" x14ac:dyDescent="0.3">
      <c r="A531" s="1">
        <v>45385</v>
      </c>
      <c r="B531">
        <v>1250.27</v>
      </c>
      <c r="C531">
        <v>190.6</v>
      </c>
      <c r="D531">
        <v>2</v>
      </c>
      <c r="E531" s="2" t="s">
        <v>16</v>
      </c>
      <c r="F531" s="2" t="s">
        <v>9</v>
      </c>
      <c r="G531" s="2" t="s">
        <v>10</v>
      </c>
      <c r="H531" s="2" t="s">
        <v>20</v>
      </c>
      <c r="I531" s="2">
        <f t="shared" si="16"/>
        <v>1059.67</v>
      </c>
      <c r="J531" s="2">
        <f t="shared" si="17"/>
        <v>5.5596537250786993</v>
      </c>
    </row>
    <row r="532" spans="1:10" x14ac:dyDescent="0.3">
      <c r="A532" s="1">
        <v>45356</v>
      </c>
      <c r="B532">
        <v>604.73</v>
      </c>
      <c r="C532">
        <v>58.14</v>
      </c>
      <c r="D532">
        <v>4</v>
      </c>
      <c r="E532" s="2" t="s">
        <v>16</v>
      </c>
      <c r="F532" s="2" t="s">
        <v>17</v>
      </c>
      <c r="G532" s="2" t="s">
        <v>19</v>
      </c>
      <c r="H532" s="2" t="s">
        <v>18</v>
      </c>
      <c r="I532" s="2">
        <f t="shared" si="16"/>
        <v>546.59</v>
      </c>
      <c r="J532" s="2">
        <f t="shared" si="17"/>
        <v>9.401272789817682</v>
      </c>
    </row>
    <row r="533" spans="1:10" x14ac:dyDescent="0.3">
      <c r="A533" s="1">
        <v>45322</v>
      </c>
      <c r="B533">
        <v>440.19</v>
      </c>
      <c r="C533">
        <v>442.69</v>
      </c>
      <c r="D533">
        <v>4</v>
      </c>
      <c r="E533" s="2" t="s">
        <v>13</v>
      </c>
      <c r="F533" s="2" t="s">
        <v>9</v>
      </c>
      <c r="G533" s="2" t="s">
        <v>19</v>
      </c>
      <c r="H533" s="2" t="s">
        <v>18</v>
      </c>
      <c r="I533" s="2">
        <f t="shared" si="16"/>
        <v>-2.5</v>
      </c>
      <c r="J533" s="2">
        <f t="shared" si="17"/>
        <v>-5.6472926878854274E-3</v>
      </c>
    </row>
    <row r="534" spans="1:10" x14ac:dyDescent="0.3">
      <c r="A534" s="1">
        <v>45374</v>
      </c>
      <c r="B534">
        <v>1033.33</v>
      </c>
      <c r="C534">
        <v>478.33</v>
      </c>
      <c r="D534">
        <v>8</v>
      </c>
      <c r="E534" s="2" t="s">
        <v>16</v>
      </c>
      <c r="F534" s="2" t="s">
        <v>9</v>
      </c>
      <c r="G534" s="2" t="s">
        <v>19</v>
      </c>
      <c r="H534" s="2" t="s">
        <v>20</v>
      </c>
      <c r="I534" s="2">
        <f t="shared" si="16"/>
        <v>555</v>
      </c>
      <c r="J534" s="2">
        <f t="shared" si="17"/>
        <v>1.1602868312671168</v>
      </c>
    </row>
    <row r="535" spans="1:10" x14ac:dyDescent="0.3">
      <c r="A535" s="1">
        <v>45356</v>
      </c>
      <c r="B535">
        <v>1004.39</v>
      </c>
      <c r="C535">
        <v>458.96</v>
      </c>
      <c r="D535">
        <v>10</v>
      </c>
      <c r="E535" s="2" t="s">
        <v>16</v>
      </c>
      <c r="F535" s="2" t="s">
        <v>17</v>
      </c>
      <c r="G535" s="2" t="s">
        <v>12</v>
      </c>
      <c r="H535" s="2" t="s">
        <v>18</v>
      </c>
      <c r="I535" s="2">
        <f t="shared" si="16"/>
        <v>545.43000000000006</v>
      </c>
      <c r="J535" s="2">
        <f t="shared" si="17"/>
        <v>1.1884042182325258</v>
      </c>
    </row>
    <row r="536" spans="1:10" x14ac:dyDescent="0.3">
      <c r="A536" s="1">
        <v>45321</v>
      </c>
      <c r="B536">
        <v>256.52</v>
      </c>
      <c r="C536">
        <v>485.8</v>
      </c>
      <c r="D536">
        <v>3</v>
      </c>
      <c r="E536" s="2" t="s">
        <v>8</v>
      </c>
      <c r="F536" s="2" t="s">
        <v>17</v>
      </c>
      <c r="G536" s="2" t="s">
        <v>12</v>
      </c>
      <c r="H536" s="2" t="s">
        <v>20</v>
      </c>
      <c r="I536" s="2">
        <f t="shared" si="16"/>
        <v>-229.28000000000003</v>
      </c>
      <c r="J536" s="2">
        <f t="shared" si="17"/>
        <v>-0.47196377109921783</v>
      </c>
    </row>
    <row r="537" spans="1:10" x14ac:dyDescent="0.3">
      <c r="A537" s="1">
        <v>45367</v>
      </c>
      <c r="B537">
        <v>1363.99</v>
      </c>
      <c r="C537">
        <v>266.3</v>
      </c>
      <c r="D537">
        <v>9</v>
      </c>
      <c r="E537" s="2" t="s">
        <v>8</v>
      </c>
      <c r="F537" s="2" t="s">
        <v>9</v>
      </c>
      <c r="G537" s="2" t="s">
        <v>19</v>
      </c>
      <c r="H537" s="2" t="s">
        <v>18</v>
      </c>
      <c r="I537" s="2">
        <f t="shared" si="16"/>
        <v>1097.69</v>
      </c>
      <c r="J537" s="2">
        <f t="shared" si="17"/>
        <v>4.1220052572286896</v>
      </c>
    </row>
    <row r="538" spans="1:10" x14ac:dyDescent="0.3">
      <c r="A538" s="1">
        <v>45366</v>
      </c>
      <c r="B538">
        <v>1053.18</v>
      </c>
      <c r="C538">
        <v>130.47999999999999</v>
      </c>
      <c r="D538">
        <v>10</v>
      </c>
      <c r="E538" s="2" t="s">
        <v>8</v>
      </c>
      <c r="F538" s="2" t="s">
        <v>17</v>
      </c>
      <c r="G538" s="2" t="s">
        <v>10</v>
      </c>
      <c r="H538" s="2" t="s">
        <v>18</v>
      </c>
      <c r="I538" s="2">
        <f t="shared" si="16"/>
        <v>922.7</v>
      </c>
      <c r="J538" s="2">
        <f t="shared" si="17"/>
        <v>7.0715818516247708</v>
      </c>
    </row>
    <row r="539" spans="1:10" x14ac:dyDescent="0.3">
      <c r="A539" s="1">
        <v>45353</v>
      </c>
      <c r="B539">
        <v>1166.95</v>
      </c>
      <c r="C539">
        <v>405.68</v>
      </c>
      <c r="D539">
        <v>10</v>
      </c>
      <c r="E539" s="2" t="s">
        <v>8</v>
      </c>
      <c r="F539" s="2" t="s">
        <v>17</v>
      </c>
      <c r="G539" s="2" t="s">
        <v>19</v>
      </c>
      <c r="H539" s="2" t="s">
        <v>18</v>
      </c>
      <c r="I539" s="2">
        <f t="shared" si="16"/>
        <v>761.27</v>
      </c>
      <c r="J539" s="2">
        <f t="shared" si="17"/>
        <v>1.8765282981660421</v>
      </c>
    </row>
    <row r="540" spans="1:10" x14ac:dyDescent="0.3">
      <c r="A540" s="1">
        <v>45335</v>
      </c>
      <c r="B540">
        <v>211.9</v>
      </c>
      <c r="C540">
        <v>340.51</v>
      </c>
      <c r="D540">
        <v>6</v>
      </c>
      <c r="E540" s="2" t="s">
        <v>13</v>
      </c>
      <c r="F540" s="2" t="s">
        <v>9</v>
      </c>
      <c r="G540" s="2" t="s">
        <v>12</v>
      </c>
      <c r="H540" s="2" t="s">
        <v>11</v>
      </c>
      <c r="I540" s="2">
        <f t="shared" si="16"/>
        <v>-128.60999999999999</v>
      </c>
      <c r="J540" s="2">
        <f t="shared" si="17"/>
        <v>-0.37769815864438633</v>
      </c>
    </row>
    <row r="541" spans="1:10" x14ac:dyDescent="0.3">
      <c r="A541" s="1">
        <v>45399</v>
      </c>
      <c r="B541">
        <v>140.02000000000001</v>
      </c>
      <c r="C541">
        <v>451.93</v>
      </c>
      <c r="D541">
        <v>2</v>
      </c>
      <c r="E541" s="2" t="s">
        <v>8</v>
      </c>
      <c r="F541" s="2" t="s">
        <v>17</v>
      </c>
      <c r="G541" s="2" t="s">
        <v>10</v>
      </c>
      <c r="H541" s="2" t="s">
        <v>11</v>
      </c>
      <c r="I541" s="2">
        <f t="shared" si="16"/>
        <v>-311.90999999999997</v>
      </c>
      <c r="J541" s="2">
        <f t="shared" si="17"/>
        <v>-0.69017325692031939</v>
      </c>
    </row>
    <row r="542" spans="1:10" x14ac:dyDescent="0.3">
      <c r="A542" s="1">
        <v>45368</v>
      </c>
      <c r="B542">
        <v>1027.95</v>
      </c>
      <c r="C542">
        <v>24.7</v>
      </c>
      <c r="D542">
        <v>6</v>
      </c>
      <c r="E542" s="2" t="s">
        <v>8</v>
      </c>
      <c r="F542" s="2" t="s">
        <v>17</v>
      </c>
      <c r="G542" s="2" t="s">
        <v>12</v>
      </c>
      <c r="H542" s="2" t="s">
        <v>18</v>
      </c>
      <c r="I542" s="2">
        <f t="shared" si="16"/>
        <v>1003.25</v>
      </c>
      <c r="J542" s="2">
        <f t="shared" si="17"/>
        <v>40.617408906882595</v>
      </c>
    </row>
    <row r="543" spans="1:10" x14ac:dyDescent="0.3">
      <c r="A543" s="1">
        <v>45293</v>
      </c>
      <c r="B543">
        <v>1119.95</v>
      </c>
      <c r="C543">
        <v>26.09</v>
      </c>
      <c r="D543">
        <v>0</v>
      </c>
      <c r="E543" s="2" t="s">
        <v>13</v>
      </c>
      <c r="F543" s="2" t="s">
        <v>9</v>
      </c>
      <c r="G543" s="2" t="s">
        <v>12</v>
      </c>
      <c r="H543" s="2" t="s">
        <v>15</v>
      </c>
      <c r="I543" s="2">
        <f t="shared" si="16"/>
        <v>1093.8600000000001</v>
      </c>
      <c r="J543" s="2">
        <f t="shared" si="17"/>
        <v>41.926408585665008</v>
      </c>
    </row>
    <row r="544" spans="1:10" x14ac:dyDescent="0.3">
      <c r="A544" s="1">
        <v>45355</v>
      </c>
      <c r="B544">
        <v>1332.76</v>
      </c>
      <c r="C544">
        <v>341.85</v>
      </c>
      <c r="D544">
        <v>6</v>
      </c>
      <c r="E544" s="2" t="s">
        <v>8</v>
      </c>
      <c r="F544" s="2" t="s">
        <v>17</v>
      </c>
      <c r="G544" s="2" t="s">
        <v>10</v>
      </c>
      <c r="H544" s="2" t="s">
        <v>11</v>
      </c>
      <c r="I544" s="2">
        <f t="shared" si="16"/>
        <v>990.91</v>
      </c>
      <c r="J544" s="2">
        <f t="shared" si="17"/>
        <v>2.8986690068743597</v>
      </c>
    </row>
    <row r="545" spans="1:10" x14ac:dyDescent="0.3">
      <c r="A545" s="1">
        <v>45339</v>
      </c>
      <c r="B545">
        <v>264.74</v>
      </c>
      <c r="C545">
        <v>26.61</v>
      </c>
      <c r="D545">
        <v>8</v>
      </c>
      <c r="E545" s="2" t="s">
        <v>13</v>
      </c>
      <c r="F545" s="2" t="s">
        <v>9</v>
      </c>
      <c r="G545" s="2" t="s">
        <v>10</v>
      </c>
      <c r="H545" s="2" t="s">
        <v>15</v>
      </c>
      <c r="I545" s="2">
        <f t="shared" si="16"/>
        <v>238.13</v>
      </c>
      <c r="J545" s="2">
        <f t="shared" si="17"/>
        <v>8.9488913942127013</v>
      </c>
    </row>
    <row r="546" spans="1:10" x14ac:dyDescent="0.3">
      <c r="A546" s="1">
        <v>45375</v>
      </c>
      <c r="B546">
        <v>530.74</v>
      </c>
      <c r="C546">
        <v>329.88</v>
      </c>
      <c r="D546">
        <v>0</v>
      </c>
      <c r="E546" s="2" t="s">
        <v>16</v>
      </c>
      <c r="F546" s="2" t="s">
        <v>17</v>
      </c>
      <c r="G546" s="2" t="s">
        <v>19</v>
      </c>
      <c r="H546" s="2" t="s">
        <v>11</v>
      </c>
      <c r="I546" s="2">
        <f t="shared" si="16"/>
        <v>200.86</v>
      </c>
      <c r="J546" s="2">
        <f t="shared" si="17"/>
        <v>0.60888808051412635</v>
      </c>
    </row>
    <row r="547" spans="1:10" x14ac:dyDescent="0.3">
      <c r="A547" s="1">
        <v>45326</v>
      </c>
      <c r="B547">
        <v>722.08</v>
      </c>
      <c r="C547">
        <v>420.27</v>
      </c>
      <c r="D547">
        <v>3</v>
      </c>
      <c r="E547" s="2" t="s">
        <v>13</v>
      </c>
      <c r="F547" s="2" t="s">
        <v>17</v>
      </c>
      <c r="G547" s="2" t="s">
        <v>10</v>
      </c>
      <c r="H547" s="2" t="s">
        <v>15</v>
      </c>
      <c r="I547" s="2">
        <f t="shared" si="16"/>
        <v>301.81000000000006</v>
      </c>
      <c r="J547" s="2">
        <f t="shared" si="17"/>
        <v>0.7181335807932997</v>
      </c>
    </row>
    <row r="548" spans="1:10" x14ac:dyDescent="0.3">
      <c r="A548" s="1">
        <v>45378</v>
      </c>
      <c r="B548">
        <v>745.93</v>
      </c>
      <c r="C548">
        <v>394.37</v>
      </c>
      <c r="D548">
        <v>6</v>
      </c>
      <c r="E548" s="2" t="s">
        <v>8</v>
      </c>
      <c r="F548" s="2" t="s">
        <v>17</v>
      </c>
      <c r="G548" s="2" t="s">
        <v>10</v>
      </c>
      <c r="H548" s="2" t="s">
        <v>15</v>
      </c>
      <c r="I548" s="2">
        <f t="shared" si="16"/>
        <v>351.55999999999995</v>
      </c>
      <c r="J548" s="2">
        <f t="shared" si="17"/>
        <v>0.89144711818850308</v>
      </c>
    </row>
    <row r="549" spans="1:10" x14ac:dyDescent="0.3">
      <c r="A549" s="1">
        <v>45403</v>
      </c>
      <c r="B549">
        <v>1289.92</v>
      </c>
      <c r="C549">
        <v>97.21</v>
      </c>
      <c r="D549">
        <v>3</v>
      </c>
      <c r="E549" s="2" t="s">
        <v>16</v>
      </c>
      <c r="F549" s="2" t="s">
        <v>17</v>
      </c>
      <c r="G549" s="2" t="s">
        <v>19</v>
      </c>
      <c r="H549" s="2" t="s">
        <v>20</v>
      </c>
      <c r="I549" s="2">
        <f t="shared" si="16"/>
        <v>1192.71</v>
      </c>
      <c r="J549" s="2">
        <f t="shared" si="17"/>
        <v>12.269416726674212</v>
      </c>
    </row>
    <row r="550" spans="1:10" x14ac:dyDescent="0.3">
      <c r="A550" s="1">
        <v>45410</v>
      </c>
      <c r="B550">
        <v>606.07000000000005</v>
      </c>
      <c r="C550">
        <v>49.75</v>
      </c>
      <c r="D550">
        <v>4</v>
      </c>
      <c r="E550" s="2" t="s">
        <v>8</v>
      </c>
      <c r="F550" s="2" t="s">
        <v>17</v>
      </c>
      <c r="G550" s="2" t="s">
        <v>12</v>
      </c>
      <c r="H550" s="2" t="s">
        <v>18</v>
      </c>
      <c r="I550" s="2">
        <f t="shared" si="16"/>
        <v>556.32000000000005</v>
      </c>
      <c r="J550" s="2">
        <f t="shared" si="17"/>
        <v>11.182311557788946</v>
      </c>
    </row>
    <row r="551" spans="1:10" x14ac:dyDescent="0.3">
      <c r="A551" s="1">
        <v>45353</v>
      </c>
      <c r="B551">
        <v>1337.22</v>
      </c>
      <c r="C551">
        <v>33</v>
      </c>
      <c r="D551">
        <v>1</v>
      </c>
      <c r="E551" s="2" t="s">
        <v>16</v>
      </c>
      <c r="F551" s="2" t="s">
        <v>9</v>
      </c>
      <c r="G551" s="2" t="s">
        <v>19</v>
      </c>
      <c r="H551" s="2" t="s">
        <v>20</v>
      </c>
      <c r="I551" s="2">
        <f t="shared" si="16"/>
        <v>1304.22</v>
      </c>
      <c r="J551" s="2">
        <f t="shared" si="17"/>
        <v>39.521818181818183</v>
      </c>
    </row>
    <row r="552" spans="1:10" x14ac:dyDescent="0.3">
      <c r="A552" s="1">
        <v>45405</v>
      </c>
      <c r="B552">
        <v>1441.38</v>
      </c>
      <c r="C552">
        <v>99.05</v>
      </c>
      <c r="D552">
        <v>3</v>
      </c>
      <c r="E552" s="2" t="s">
        <v>16</v>
      </c>
      <c r="F552" s="2" t="s">
        <v>9</v>
      </c>
      <c r="G552" s="2" t="s">
        <v>19</v>
      </c>
      <c r="H552" s="2" t="s">
        <v>20</v>
      </c>
      <c r="I552" s="2">
        <f t="shared" si="16"/>
        <v>1342.3300000000002</v>
      </c>
      <c r="J552" s="2">
        <f t="shared" si="17"/>
        <v>13.552044422009088</v>
      </c>
    </row>
    <row r="553" spans="1:10" x14ac:dyDescent="0.3">
      <c r="A553" s="1">
        <v>45371</v>
      </c>
      <c r="B553">
        <v>1460.78</v>
      </c>
      <c r="C553">
        <v>48.99</v>
      </c>
      <c r="D553">
        <v>9</v>
      </c>
      <c r="E553" s="2" t="s">
        <v>13</v>
      </c>
      <c r="F553" s="2" t="s">
        <v>17</v>
      </c>
      <c r="G553" s="2" t="s">
        <v>14</v>
      </c>
      <c r="H553" s="2" t="s">
        <v>18</v>
      </c>
      <c r="I553" s="2">
        <f t="shared" si="16"/>
        <v>1411.79</v>
      </c>
      <c r="J553" s="2">
        <f t="shared" si="17"/>
        <v>28.817922024903041</v>
      </c>
    </row>
    <row r="554" spans="1:10" x14ac:dyDescent="0.3">
      <c r="A554" s="1">
        <v>45384</v>
      </c>
      <c r="B554">
        <v>685.39</v>
      </c>
      <c r="C554">
        <v>142.94</v>
      </c>
      <c r="D554">
        <v>2</v>
      </c>
      <c r="E554" s="2" t="s">
        <v>16</v>
      </c>
      <c r="F554" s="2" t="s">
        <v>9</v>
      </c>
      <c r="G554" s="2" t="s">
        <v>10</v>
      </c>
      <c r="H554" s="2" t="s">
        <v>20</v>
      </c>
      <c r="I554" s="2">
        <f t="shared" si="16"/>
        <v>542.45000000000005</v>
      </c>
      <c r="J554" s="2">
        <f t="shared" si="17"/>
        <v>3.7949489296208201</v>
      </c>
    </row>
    <row r="555" spans="1:10" x14ac:dyDescent="0.3">
      <c r="A555" s="1">
        <v>45388</v>
      </c>
      <c r="B555">
        <v>547.14</v>
      </c>
      <c r="C555">
        <v>481.12</v>
      </c>
      <c r="D555">
        <v>0</v>
      </c>
      <c r="E555" s="2" t="s">
        <v>16</v>
      </c>
      <c r="F555" s="2" t="s">
        <v>17</v>
      </c>
      <c r="G555" s="2" t="s">
        <v>19</v>
      </c>
      <c r="H555" s="2" t="s">
        <v>18</v>
      </c>
      <c r="I555" s="2">
        <f t="shared" si="16"/>
        <v>66.019999999999982</v>
      </c>
      <c r="J555" s="2">
        <f t="shared" si="17"/>
        <v>0.13722148320585298</v>
      </c>
    </row>
    <row r="556" spans="1:10" x14ac:dyDescent="0.3">
      <c r="A556" s="1">
        <v>45376</v>
      </c>
      <c r="B556">
        <v>1009.07</v>
      </c>
      <c r="C556">
        <v>405.67</v>
      </c>
      <c r="D556">
        <v>9</v>
      </c>
      <c r="E556" s="2" t="s">
        <v>8</v>
      </c>
      <c r="F556" s="2" t="s">
        <v>17</v>
      </c>
      <c r="G556" s="2" t="s">
        <v>19</v>
      </c>
      <c r="H556" s="2" t="s">
        <v>18</v>
      </c>
      <c r="I556" s="2">
        <f t="shared" si="16"/>
        <v>603.40000000000009</v>
      </c>
      <c r="J556" s="2">
        <f t="shared" si="17"/>
        <v>1.4874158799023838</v>
      </c>
    </row>
    <row r="557" spans="1:10" x14ac:dyDescent="0.3">
      <c r="A557" s="1">
        <v>45344</v>
      </c>
      <c r="B557">
        <v>344.97</v>
      </c>
      <c r="C557">
        <v>68.37</v>
      </c>
      <c r="D557">
        <v>1</v>
      </c>
      <c r="E557" s="2" t="s">
        <v>16</v>
      </c>
      <c r="F557" s="2" t="s">
        <v>17</v>
      </c>
      <c r="G557" s="2" t="s">
        <v>19</v>
      </c>
      <c r="H557" s="2" t="s">
        <v>11</v>
      </c>
      <c r="I557" s="2">
        <f t="shared" si="16"/>
        <v>276.60000000000002</v>
      </c>
      <c r="J557" s="2">
        <f t="shared" si="17"/>
        <v>4.0456340500219392</v>
      </c>
    </row>
    <row r="558" spans="1:10" x14ac:dyDescent="0.3">
      <c r="A558" s="1">
        <v>45368</v>
      </c>
      <c r="B558">
        <v>235.87</v>
      </c>
      <c r="C558">
        <v>264.37</v>
      </c>
      <c r="D558">
        <v>7</v>
      </c>
      <c r="E558" s="2" t="s">
        <v>13</v>
      </c>
      <c r="F558" s="2" t="s">
        <v>17</v>
      </c>
      <c r="G558" s="2" t="s">
        <v>14</v>
      </c>
      <c r="H558" s="2" t="s">
        <v>20</v>
      </c>
      <c r="I558" s="2">
        <f t="shared" si="16"/>
        <v>-28.5</v>
      </c>
      <c r="J558" s="2">
        <f t="shared" si="17"/>
        <v>-0.10780345727578772</v>
      </c>
    </row>
    <row r="559" spans="1:10" x14ac:dyDescent="0.3">
      <c r="A559" s="1">
        <v>45386</v>
      </c>
      <c r="B559">
        <v>475.94</v>
      </c>
      <c r="C559">
        <v>58.89</v>
      </c>
      <c r="D559">
        <v>9</v>
      </c>
      <c r="E559" s="2" t="s">
        <v>13</v>
      </c>
      <c r="F559" s="2" t="s">
        <v>9</v>
      </c>
      <c r="G559" s="2" t="s">
        <v>14</v>
      </c>
      <c r="H559" s="2" t="s">
        <v>18</v>
      </c>
      <c r="I559" s="2">
        <f t="shared" si="16"/>
        <v>417.05</v>
      </c>
      <c r="J559" s="2">
        <f t="shared" si="17"/>
        <v>7.0818475123110884</v>
      </c>
    </row>
    <row r="560" spans="1:10" x14ac:dyDescent="0.3">
      <c r="A560" s="1">
        <v>45356</v>
      </c>
      <c r="B560">
        <v>1018.13</v>
      </c>
      <c r="C560">
        <v>64.23</v>
      </c>
      <c r="D560">
        <v>9</v>
      </c>
      <c r="E560" s="2" t="s">
        <v>16</v>
      </c>
      <c r="F560" s="2" t="s">
        <v>9</v>
      </c>
      <c r="G560" s="2" t="s">
        <v>12</v>
      </c>
      <c r="H560" s="2" t="s">
        <v>18</v>
      </c>
      <c r="I560" s="2">
        <f t="shared" si="16"/>
        <v>953.9</v>
      </c>
      <c r="J560" s="2">
        <f t="shared" si="17"/>
        <v>14.851315584617778</v>
      </c>
    </row>
    <row r="561" spans="1:10" x14ac:dyDescent="0.3">
      <c r="A561" s="1">
        <v>45370</v>
      </c>
      <c r="B561">
        <v>209.71</v>
      </c>
      <c r="C561">
        <v>50.29</v>
      </c>
      <c r="D561">
        <v>6</v>
      </c>
      <c r="E561" s="2" t="s">
        <v>8</v>
      </c>
      <c r="F561" s="2" t="s">
        <v>9</v>
      </c>
      <c r="G561" s="2" t="s">
        <v>19</v>
      </c>
      <c r="H561" s="2" t="s">
        <v>18</v>
      </c>
      <c r="I561" s="2">
        <f t="shared" si="16"/>
        <v>159.42000000000002</v>
      </c>
      <c r="J561" s="2">
        <f t="shared" si="17"/>
        <v>3.1700139192682446</v>
      </c>
    </row>
    <row r="562" spans="1:10" x14ac:dyDescent="0.3">
      <c r="A562" s="1">
        <v>45379</v>
      </c>
      <c r="B562">
        <v>351.83</v>
      </c>
      <c r="C562">
        <v>14.23</v>
      </c>
      <c r="D562">
        <v>3</v>
      </c>
      <c r="E562" s="2" t="s">
        <v>16</v>
      </c>
      <c r="F562" s="2" t="s">
        <v>17</v>
      </c>
      <c r="G562" s="2" t="s">
        <v>19</v>
      </c>
      <c r="H562" s="2" t="s">
        <v>18</v>
      </c>
      <c r="I562" s="2">
        <f t="shared" si="16"/>
        <v>337.59999999999997</v>
      </c>
      <c r="J562" s="2">
        <f t="shared" si="17"/>
        <v>23.724525650035133</v>
      </c>
    </row>
    <row r="563" spans="1:10" x14ac:dyDescent="0.3">
      <c r="A563" s="1">
        <v>45315</v>
      </c>
      <c r="B563">
        <v>437.99</v>
      </c>
      <c r="C563">
        <v>272.27</v>
      </c>
      <c r="D563">
        <v>9</v>
      </c>
      <c r="E563" s="2" t="s">
        <v>16</v>
      </c>
      <c r="F563" s="2" t="s">
        <v>9</v>
      </c>
      <c r="G563" s="2" t="s">
        <v>10</v>
      </c>
      <c r="H563" s="2" t="s">
        <v>18</v>
      </c>
      <c r="I563" s="2">
        <f t="shared" si="16"/>
        <v>165.72000000000003</v>
      </c>
      <c r="J563" s="2">
        <f t="shared" si="17"/>
        <v>0.60866052080655242</v>
      </c>
    </row>
    <row r="564" spans="1:10" x14ac:dyDescent="0.3">
      <c r="A564" s="1">
        <v>45408</v>
      </c>
      <c r="B564">
        <v>660.49</v>
      </c>
      <c r="C564">
        <v>27.21</v>
      </c>
      <c r="D564">
        <v>4</v>
      </c>
      <c r="E564" s="2" t="s">
        <v>16</v>
      </c>
      <c r="F564" s="2" t="s">
        <v>9</v>
      </c>
      <c r="G564" s="2" t="s">
        <v>19</v>
      </c>
      <c r="H564" s="2" t="s">
        <v>20</v>
      </c>
      <c r="I564" s="2">
        <f t="shared" si="16"/>
        <v>633.28</v>
      </c>
      <c r="J564" s="2">
        <f t="shared" si="17"/>
        <v>23.273796398382945</v>
      </c>
    </row>
    <row r="565" spans="1:10" x14ac:dyDescent="0.3">
      <c r="A565" s="1">
        <v>45381</v>
      </c>
      <c r="B565">
        <v>703.1</v>
      </c>
      <c r="C565">
        <v>197.35</v>
      </c>
      <c r="D565">
        <v>1</v>
      </c>
      <c r="E565" s="2" t="s">
        <v>8</v>
      </c>
      <c r="F565" s="2" t="s">
        <v>17</v>
      </c>
      <c r="G565" s="2" t="s">
        <v>10</v>
      </c>
      <c r="H565" s="2" t="s">
        <v>18</v>
      </c>
      <c r="I565" s="2">
        <f t="shared" si="16"/>
        <v>505.75</v>
      </c>
      <c r="J565" s="2">
        <f t="shared" si="17"/>
        <v>2.5627058525462378</v>
      </c>
    </row>
    <row r="566" spans="1:10" x14ac:dyDescent="0.3">
      <c r="A566" s="1">
        <v>45365</v>
      </c>
      <c r="B566">
        <v>1304.3699999999999</v>
      </c>
      <c r="C566">
        <v>373.2</v>
      </c>
      <c r="D566">
        <v>0</v>
      </c>
      <c r="E566" s="2" t="s">
        <v>16</v>
      </c>
      <c r="F566" s="2" t="s">
        <v>17</v>
      </c>
      <c r="G566" s="2" t="s">
        <v>19</v>
      </c>
      <c r="H566" s="2" t="s">
        <v>20</v>
      </c>
      <c r="I566" s="2">
        <f t="shared" si="16"/>
        <v>931.16999999999985</v>
      </c>
      <c r="J566" s="2">
        <f t="shared" si="17"/>
        <v>2.4950964630225076</v>
      </c>
    </row>
    <row r="567" spans="1:10" x14ac:dyDescent="0.3">
      <c r="A567" s="1">
        <v>45347</v>
      </c>
      <c r="B567">
        <v>562.84</v>
      </c>
      <c r="C567">
        <v>126.95</v>
      </c>
      <c r="D567">
        <v>8</v>
      </c>
      <c r="E567" s="2" t="s">
        <v>13</v>
      </c>
      <c r="F567" s="2" t="s">
        <v>17</v>
      </c>
      <c r="G567" s="2" t="s">
        <v>19</v>
      </c>
      <c r="H567" s="2" t="s">
        <v>18</v>
      </c>
      <c r="I567" s="2">
        <f t="shared" si="16"/>
        <v>435.89000000000004</v>
      </c>
      <c r="J567" s="2">
        <f t="shared" si="17"/>
        <v>3.4335565183142971</v>
      </c>
    </row>
    <row r="568" spans="1:10" x14ac:dyDescent="0.3">
      <c r="A568" s="1">
        <v>45322</v>
      </c>
      <c r="B568">
        <v>423.48</v>
      </c>
      <c r="C568">
        <v>439.22</v>
      </c>
      <c r="D568">
        <v>8</v>
      </c>
      <c r="E568" s="2" t="s">
        <v>16</v>
      </c>
      <c r="F568" s="2" t="s">
        <v>9</v>
      </c>
      <c r="G568" s="2" t="s">
        <v>19</v>
      </c>
      <c r="H568" s="2" t="s">
        <v>11</v>
      </c>
      <c r="I568" s="2">
        <f t="shared" si="16"/>
        <v>-15.740000000000009</v>
      </c>
      <c r="J568" s="2">
        <f t="shared" si="17"/>
        <v>-3.583625517963665E-2</v>
      </c>
    </row>
    <row r="569" spans="1:10" x14ac:dyDescent="0.3">
      <c r="A569" s="1">
        <v>45379</v>
      </c>
      <c r="B569">
        <v>1362.21</v>
      </c>
      <c r="C569">
        <v>436.14</v>
      </c>
      <c r="D569">
        <v>8</v>
      </c>
      <c r="E569" s="2" t="s">
        <v>8</v>
      </c>
      <c r="F569" s="2" t="s">
        <v>17</v>
      </c>
      <c r="G569" s="2" t="s">
        <v>14</v>
      </c>
      <c r="H569" s="2" t="s">
        <v>18</v>
      </c>
      <c r="I569" s="2">
        <f t="shared" si="16"/>
        <v>926.07</v>
      </c>
      <c r="J569" s="2">
        <f t="shared" si="17"/>
        <v>2.1233319576282845</v>
      </c>
    </row>
    <row r="570" spans="1:10" x14ac:dyDescent="0.3">
      <c r="A570" s="1">
        <v>45409</v>
      </c>
      <c r="B570">
        <v>596.32000000000005</v>
      </c>
      <c r="C570">
        <v>360.82</v>
      </c>
      <c r="D570">
        <v>1</v>
      </c>
      <c r="E570" s="2" t="s">
        <v>16</v>
      </c>
      <c r="F570" s="2" t="s">
        <v>9</v>
      </c>
      <c r="G570" s="2" t="s">
        <v>12</v>
      </c>
      <c r="H570" s="2" t="s">
        <v>18</v>
      </c>
      <c r="I570" s="2">
        <f t="shared" si="16"/>
        <v>235.50000000000006</v>
      </c>
      <c r="J570" s="2">
        <f t="shared" si="17"/>
        <v>0.65268000665151615</v>
      </c>
    </row>
    <row r="571" spans="1:10" x14ac:dyDescent="0.3">
      <c r="A571" s="1">
        <v>45343</v>
      </c>
      <c r="B571">
        <v>1386.5</v>
      </c>
      <c r="C571">
        <v>47.24</v>
      </c>
      <c r="D571">
        <v>10</v>
      </c>
      <c r="E571" s="2" t="s">
        <v>13</v>
      </c>
      <c r="F571" s="2" t="s">
        <v>9</v>
      </c>
      <c r="G571" s="2" t="s">
        <v>19</v>
      </c>
      <c r="H571" s="2" t="s">
        <v>20</v>
      </c>
      <c r="I571" s="2">
        <f t="shared" si="16"/>
        <v>1339.26</v>
      </c>
      <c r="J571" s="2">
        <f t="shared" si="17"/>
        <v>28.350127011007618</v>
      </c>
    </row>
    <row r="572" spans="1:10" x14ac:dyDescent="0.3">
      <c r="A572" s="1">
        <v>45344</v>
      </c>
      <c r="B572">
        <v>1266.6099999999999</v>
      </c>
      <c r="C572">
        <v>35.24</v>
      </c>
      <c r="D572">
        <v>2</v>
      </c>
      <c r="E572" s="2" t="s">
        <v>13</v>
      </c>
      <c r="F572" s="2" t="s">
        <v>17</v>
      </c>
      <c r="G572" s="2" t="s">
        <v>14</v>
      </c>
      <c r="H572" s="2" t="s">
        <v>20</v>
      </c>
      <c r="I572" s="2">
        <f t="shared" si="16"/>
        <v>1231.3699999999999</v>
      </c>
      <c r="J572" s="2">
        <f t="shared" si="17"/>
        <v>34.942395005675365</v>
      </c>
    </row>
    <row r="573" spans="1:10" x14ac:dyDescent="0.3">
      <c r="A573" s="1">
        <v>45307</v>
      </c>
      <c r="B573">
        <v>263.56</v>
      </c>
      <c r="C573">
        <v>297.14</v>
      </c>
      <c r="D573">
        <v>7</v>
      </c>
      <c r="E573" s="2" t="s">
        <v>8</v>
      </c>
      <c r="F573" s="2" t="s">
        <v>17</v>
      </c>
      <c r="G573" s="2" t="s">
        <v>10</v>
      </c>
      <c r="H573" s="2" t="s">
        <v>18</v>
      </c>
      <c r="I573" s="2">
        <f t="shared" si="16"/>
        <v>-33.579999999999984</v>
      </c>
      <c r="J573" s="2">
        <f t="shared" si="17"/>
        <v>-0.11301070202598097</v>
      </c>
    </row>
    <row r="574" spans="1:10" x14ac:dyDescent="0.3">
      <c r="A574" s="1">
        <v>45405</v>
      </c>
      <c r="B574">
        <v>1340.46</v>
      </c>
      <c r="C574">
        <v>298.05</v>
      </c>
      <c r="D574">
        <v>10</v>
      </c>
      <c r="E574" s="2" t="s">
        <v>8</v>
      </c>
      <c r="F574" s="2" t="s">
        <v>17</v>
      </c>
      <c r="G574" s="2" t="s">
        <v>12</v>
      </c>
      <c r="H574" s="2" t="s">
        <v>20</v>
      </c>
      <c r="I574" s="2">
        <f t="shared" si="16"/>
        <v>1042.4100000000001</v>
      </c>
      <c r="J574" s="2">
        <f t="shared" si="17"/>
        <v>3.4974333165576246</v>
      </c>
    </row>
    <row r="575" spans="1:10" x14ac:dyDescent="0.3">
      <c r="A575" s="1">
        <v>45328</v>
      </c>
      <c r="B575">
        <v>708.78</v>
      </c>
      <c r="C575">
        <v>192.41</v>
      </c>
      <c r="D575">
        <v>5</v>
      </c>
      <c r="E575" s="2" t="s">
        <v>13</v>
      </c>
      <c r="F575" s="2" t="s">
        <v>17</v>
      </c>
      <c r="G575" s="2" t="s">
        <v>14</v>
      </c>
      <c r="H575" s="2" t="s">
        <v>11</v>
      </c>
      <c r="I575" s="2">
        <f t="shared" si="16"/>
        <v>516.37</v>
      </c>
      <c r="J575" s="2">
        <f t="shared" si="17"/>
        <v>2.6836962735824543</v>
      </c>
    </row>
    <row r="576" spans="1:10" x14ac:dyDescent="0.3">
      <c r="A576" s="1">
        <v>45353</v>
      </c>
      <c r="B576">
        <v>1347.48</v>
      </c>
      <c r="C576">
        <v>431.37</v>
      </c>
      <c r="D576">
        <v>9</v>
      </c>
      <c r="E576" s="2" t="s">
        <v>13</v>
      </c>
      <c r="F576" s="2" t="s">
        <v>17</v>
      </c>
      <c r="G576" s="2" t="s">
        <v>19</v>
      </c>
      <c r="H576" s="2" t="s">
        <v>15</v>
      </c>
      <c r="I576" s="2">
        <f t="shared" si="16"/>
        <v>916.11</v>
      </c>
      <c r="J576" s="2">
        <f t="shared" si="17"/>
        <v>2.1237220947214688</v>
      </c>
    </row>
    <row r="577" spans="1:10" x14ac:dyDescent="0.3">
      <c r="A577" s="1">
        <v>45352</v>
      </c>
      <c r="B577">
        <v>840.63</v>
      </c>
      <c r="C577">
        <v>13.65</v>
      </c>
      <c r="D577">
        <v>3</v>
      </c>
      <c r="E577" s="2" t="s">
        <v>8</v>
      </c>
      <c r="F577" s="2" t="s">
        <v>17</v>
      </c>
      <c r="G577" s="2" t="s">
        <v>12</v>
      </c>
      <c r="H577" s="2" t="s">
        <v>15</v>
      </c>
      <c r="I577" s="2">
        <f t="shared" si="16"/>
        <v>826.98</v>
      </c>
      <c r="J577" s="2">
        <f t="shared" si="17"/>
        <v>60.584615384615383</v>
      </c>
    </row>
    <row r="578" spans="1:10" x14ac:dyDescent="0.3">
      <c r="A578" s="1">
        <v>45402</v>
      </c>
      <c r="B578">
        <v>175.74</v>
      </c>
      <c r="C578">
        <v>146.61000000000001</v>
      </c>
      <c r="D578">
        <v>10</v>
      </c>
      <c r="E578" s="2" t="s">
        <v>8</v>
      </c>
      <c r="F578" s="2" t="s">
        <v>9</v>
      </c>
      <c r="G578" s="2" t="s">
        <v>10</v>
      </c>
      <c r="H578" s="2" t="s">
        <v>11</v>
      </c>
      <c r="I578" s="2">
        <f t="shared" ref="I578:I641" si="18">B578-C578</f>
        <v>29.129999999999995</v>
      </c>
      <c r="J578" s="2">
        <f t="shared" ref="J578:J641" si="19">IF(C578=0,0,I578/C578)</f>
        <v>0.19869040311029257</v>
      </c>
    </row>
    <row r="579" spans="1:10" x14ac:dyDescent="0.3">
      <c r="A579" s="1">
        <v>45387</v>
      </c>
      <c r="B579">
        <v>887.35</v>
      </c>
      <c r="C579">
        <v>155.30000000000001</v>
      </c>
      <c r="D579">
        <v>6</v>
      </c>
      <c r="E579" s="2" t="s">
        <v>16</v>
      </c>
      <c r="F579" s="2" t="s">
        <v>9</v>
      </c>
      <c r="G579" s="2" t="s">
        <v>12</v>
      </c>
      <c r="H579" s="2" t="s">
        <v>20</v>
      </c>
      <c r="I579" s="2">
        <f t="shared" si="18"/>
        <v>732.05</v>
      </c>
      <c r="J579" s="2">
        <f t="shared" si="19"/>
        <v>4.7137797810688982</v>
      </c>
    </row>
    <row r="580" spans="1:10" x14ac:dyDescent="0.3">
      <c r="A580" s="1">
        <v>45327</v>
      </c>
      <c r="B580">
        <v>1250.48</v>
      </c>
      <c r="C580">
        <v>179.76</v>
      </c>
      <c r="D580">
        <v>3</v>
      </c>
      <c r="E580" s="2" t="s">
        <v>8</v>
      </c>
      <c r="F580" s="2" t="s">
        <v>17</v>
      </c>
      <c r="G580" s="2" t="s">
        <v>14</v>
      </c>
      <c r="H580" s="2" t="s">
        <v>15</v>
      </c>
      <c r="I580" s="2">
        <f t="shared" si="18"/>
        <v>1070.72</v>
      </c>
      <c r="J580" s="2">
        <f t="shared" si="19"/>
        <v>5.9563862928348916</v>
      </c>
    </row>
    <row r="581" spans="1:10" x14ac:dyDescent="0.3">
      <c r="A581" s="1">
        <v>45361</v>
      </c>
      <c r="B581">
        <v>1390.69</v>
      </c>
      <c r="C581">
        <v>163.87</v>
      </c>
      <c r="D581">
        <v>3</v>
      </c>
      <c r="E581" s="2" t="s">
        <v>13</v>
      </c>
      <c r="F581" s="2" t="s">
        <v>17</v>
      </c>
      <c r="G581" s="2" t="s">
        <v>19</v>
      </c>
      <c r="H581" s="2" t="s">
        <v>20</v>
      </c>
      <c r="I581" s="2">
        <f t="shared" si="18"/>
        <v>1226.8200000000002</v>
      </c>
      <c r="J581" s="2">
        <f t="shared" si="19"/>
        <v>7.4865442118752679</v>
      </c>
    </row>
    <row r="582" spans="1:10" x14ac:dyDescent="0.3">
      <c r="A582" s="1">
        <v>45326</v>
      </c>
      <c r="B582">
        <v>616.63</v>
      </c>
      <c r="C582">
        <v>171.05</v>
      </c>
      <c r="D582">
        <v>1</v>
      </c>
      <c r="E582" s="2" t="s">
        <v>13</v>
      </c>
      <c r="F582" s="2" t="s">
        <v>17</v>
      </c>
      <c r="G582" s="2" t="s">
        <v>10</v>
      </c>
      <c r="H582" s="2" t="s">
        <v>20</v>
      </c>
      <c r="I582" s="2">
        <f t="shared" si="18"/>
        <v>445.58</v>
      </c>
      <c r="J582" s="2">
        <f t="shared" si="19"/>
        <v>2.6049693072201108</v>
      </c>
    </row>
    <row r="583" spans="1:10" x14ac:dyDescent="0.3">
      <c r="A583" s="1">
        <v>45303</v>
      </c>
      <c r="B583">
        <v>921.35</v>
      </c>
      <c r="C583">
        <v>138.43</v>
      </c>
      <c r="D583">
        <v>3</v>
      </c>
      <c r="E583" s="2" t="s">
        <v>8</v>
      </c>
      <c r="F583" s="2" t="s">
        <v>17</v>
      </c>
      <c r="G583" s="2" t="s">
        <v>10</v>
      </c>
      <c r="H583" s="2" t="s">
        <v>15</v>
      </c>
      <c r="I583" s="2">
        <f t="shared" si="18"/>
        <v>782.92000000000007</v>
      </c>
      <c r="J583" s="2">
        <f t="shared" si="19"/>
        <v>5.655710467384238</v>
      </c>
    </row>
    <row r="584" spans="1:10" x14ac:dyDescent="0.3">
      <c r="A584" s="1">
        <v>45393</v>
      </c>
      <c r="B584">
        <v>468.16</v>
      </c>
      <c r="C584">
        <v>125.19</v>
      </c>
      <c r="D584">
        <v>7</v>
      </c>
      <c r="E584" s="2" t="s">
        <v>16</v>
      </c>
      <c r="F584" s="2" t="s">
        <v>17</v>
      </c>
      <c r="G584" s="2" t="s">
        <v>10</v>
      </c>
      <c r="H584" s="2" t="s">
        <v>18</v>
      </c>
      <c r="I584" s="2">
        <f t="shared" si="18"/>
        <v>342.97</v>
      </c>
      <c r="J584" s="2">
        <f t="shared" si="19"/>
        <v>2.7395958143621697</v>
      </c>
    </row>
    <row r="585" spans="1:10" x14ac:dyDescent="0.3">
      <c r="A585" s="1">
        <v>45407</v>
      </c>
      <c r="B585">
        <v>1016.11</v>
      </c>
      <c r="C585">
        <v>299.32</v>
      </c>
      <c r="D585">
        <v>4</v>
      </c>
      <c r="E585" s="2" t="s">
        <v>13</v>
      </c>
      <c r="F585" s="2" t="s">
        <v>17</v>
      </c>
      <c r="G585" s="2" t="s">
        <v>10</v>
      </c>
      <c r="H585" s="2" t="s">
        <v>11</v>
      </c>
      <c r="I585" s="2">
        <f t="shared" si="18"/>
        <v>716.79</v>
      </c>
      <c r="J585" s="2">
        <f t="shared" si="19"/>
        <v>2.394728050247227</v>
      </c>
    </row>
    <row r="586" spans="1:10" x14ac:dyDescent="0.3">
      <c r="A586" s="1">
        <v>45307</v>
      </c>
      <c r="B586">
        <v>616.28</v>
      </c>
      <c r="C586">
        <v>278.13</v>
      </c>
      <c r="D586">
        <v>3</v>
      </c>
      <c r="E586" s="2" t="s">
        <v>8</v>
      </c>
      <c r="F586" s="2" t="s">
        <v>17</v>
      </c>
      <c r="G586" s="2" t="s">
        <v>14</v>
      </c>
      <c r="H586" s="2" t="s">
        <v>15</v>
      </c>
      <c r="I586" s="2">
        <f t="shared" si="18"/>
        <v>338.15</v>
      </c>
      <c r="J586" s="2">
        <f t="shared" si="19"/>
        <v>1.2157983676697945</v>
      </c>
    </row>
    <row r="587" spans="1:10" x14ac:dyDescent="0.3">
      <c r="A587" s="1">
        <v>45382</v>
      </c>
      <c r="B587">
        <v>186.31</v>
      </c>
      <c r="C587">
        <v>276.92</v>
      </c>
      <c r="D587">
        <v>9</v>
      </c>
      <c r="E587" s="2" t="s">
        <v>13</v>
      </c>
      <c r="F587" s="2" t="s">
        <v>9</v>
      </c>
      <c r="G587" s="2" t="s">
        <v>10</v>
      </c>
      <c r="H587" s="2" t="s">
        <v>15</v>
      </c>
      <c r="I587" s="2">
        <f t="shared" si="18"/>
        <v>-90.610000000000014</v>
      </c>
      <c r="J587" s="2">
        <f t="shared" si="19"/>
        <v>-0.32720641340459339</v>
      </c>
    </row>
    <row r="588" spans="1:10" x14ac:dyDescent="0.3">
      <c r="A588" s="1">
        <v>45395</v>
      </c>
      <c r="B588">
        <v>1319.42</v>
      </c>
      <c r="C588">
        <v>487.07</v>
      </c>
      <c r="D588">
        <v>1</v>
      </c>
      <c r="E588" s="2" t="s">
        <v>8</v>
      </c>
      <c r="F588" s="2" t="s">
        <v>17</v>
      </c>
      <c r="G588" s="2" t="s">
        <v>19</v>
      </c>
      <c r="H588" s="2" t="s">
        <v>15</v>
      </c>
      <c r="I588" s="2">
        <f t="shared" si="18"/>
        <v>832.35000000000014</v>
      </c>
      <c r="J588" s="2">
        <f t="shared" si="19"/>
        <v>1.7088919457162217</v>
      </c>
    </row>
    <row r="589" spans="1:10" x14ac:dyDescent="0.3">
      <c r="A589" s="1">
        <v>45329</v>
      </c>
      <c r="B589">
        <v>917.73</v>
      </c>
      <c r="C589">
        <v>472.17</v>
      </c>
      <c r="D589">
        <v>2</v>
      </c>
      <c r="E589" s="2" t="s">
        <v>13</v>
      </c>
      <c r="F589" s="2" t="s">
        <v>9</v>
      </c>
      <c r="G589" s="2" t="s">
        <v>12</v>
      </c>
      <c r="H589" s="2" t="s">
        <v>15</v>
      </c>
      <c r="I589" s="2">
        <f t="shared" si="18"/>
        <v>445.56</v>
      </c>
      <c r="J589" s="2">
        <f t="shared" si="19"/>
        <v>0.94364317936336484</v>
      </c>
    </row>
    <row r="590" spans="1:10" x14ac:dyDescent="0.3">
      <c r="A590" s="1">
        <v>45303</v>
      </c>
      <c r="B590">
        <v>74.64</v>
      </c>
      <c r="C590">
        <v>278.45</v>
      </c>
      <c r="D590">
        <v>6</v>
      </c>
      <c r="E590" s="2" t="s">
        <v>16</v>
      </c>
      <c r="F590" s="2" t="s">
        <v>9</v>
      </c>
      <c r="G590" s="2" t="s">
        <v>14</v>
      </c>
      <c r="H590" s="2" t="s">
        <v>15</v>
      </c>
      <c r="I590" s="2">
        <f t="shared" si="18"/>
        <v>-203.81</v>
      </c>
      <c r="J590" s="2">
        <f t="shared" si="19"/>
        <v>-0.7319446938409051</v>
      </c>
    </row>
    <row r="591" spans="1:10" x14ac:dyDescent="0.3">
      <c r="A591" s="1">
        <v>45388</v>
      </c>
      <c r="B591">
        <v>316.02999999999997</v>
      </c>
      <c r="C591">
        <v>404.36</v>
      </c>
      <c r="D591">
        <v>1</v>
      </c>
      <c r="E591" s="2" t="s">
        <v>16</v>
      </c>
      <c r="F591" s="2" t="s">
        <v>9</v>
      </c>
      <c r="G591" s="2" t="s">
        <v>10</v>
      </c>
      <c r="H591" s="2" t="s">
        <v>11</v>
      </c>
      <c r="I591" s="2">
        <f t="shared" si="18"/>
        <v>-88.330000000000041</v>
      </c>
      <c r="J591" s="2">
        <f t="shared" si="19"/>
        <v>-0.21844396082698594</v>
      </c>
    </row>
    <row r="592" spans="1:10" x14ac:dyDescent="0.3">
      <c r="A592" s="1">
        <v>45305</v>
      </c>
      <c r="B592">
        <v>967.33</v>
      </c>
      <c r="C592">
        <v>363.97</v>
      </c>
      <c r="D592">
        <v>2</v>
      </c>
      <c r="E592" s="2" t="s">
        <v>8</v>
      </c>
      <c r="F592" s="2" t="s">
        <v>17</v>
      </c>
      <c r="G592" s="2" t="s">
        <v>10</v>
      </c>
      <c r="H592" s="2" t="s">
        <v>18</v>
      </c>
      <c r="I592" s="2">
        <f t="shared" si="18"/>
        <v>603.36</v>
      </c>
      <c r="J592" s="2">
        <f t="shared" si="19"/>
        <v>1.6577190427782509</v>
      </c>
    </row>
    <row r="593" spans="1:10" x14ac:dyDescent="0.3">
      <c r="A593" s="1">
        <v>45383</v>
      </c>
      <c r="B593">
        <v>1033.6300000000001</v>
      </c>
      <c r="C593">
        <v>343.22</v>
      </c>
      <c r="D593">
        <v>7</v>
      </c>
      <c r="E593" s="2" t="s">
        <v>8</v>
      </c>
      <c r="F593" s="2" t="s">
        <v>17</v>
      </c>
      <c r="G593" s="2" t="s">
        <v>12</v>
      </c>
      <c r="H593" s="2" t="s">
        <v>20</v>
      </c>
      <c r="I593" s="2">
        <f t="shared" si="18"/>
        <v>690.41000000000008</v>
      </c>
      <c r="J593" s="2">
        <f t="shared" si="19"/>
        <v>2.0115669250043706</v>
      </c>
    </row>
    <row r="594" spans="1:10" x14ac:dyDescent="0.3">
      <c r="A594" s="1">
        <v>45310</v>
      </c>
      <c r="B594">
        <v>893.25</v>
      </c>
      <c r="C594">
        <v>498.02</v>
      </c>
      <c r="D594">
        <v>2</v>
      </c>
      <c r="E594" s="2" t="s">
        <v>8</v>
      </c>
      <c r="F594" s="2" t="s">
        <v>9</v>
      </c>
      <c r="G594" s="2" t="s">
        <v>12</v>
      </c>
      <c r="H594" s="2" t="s">
        <v>11</v>
      </c>
      <c r="I594" s="2">
        <f t="shared" si="18"/>
        <v>395.23</v>
      </c>
      <c r="J594" s="2">
        <f t="shared" si="19"/>
        <v>0.79360266655957601</v>
      </c>
    </row>
    <row r="595" spans="1:10" x14ac:dyDescent="0.3">
      <c r="A595" s="1">
        <v>45400</v>
      </c>
      <c r="B595">
        <v>1202.98</v>
      </c>
      <c r="C595">
        <v>268.77999999999997</v>
      </c>
      <c r="D595">
        <v>5</v>
      </c>
      <c r="E595" s="2" t="s">
        <v>13</v>
      </c>
      <c r="F595" s="2" t="s">
        <v>17</v>
      </c>
      <c r="G595" s="2" t="s">
        <v>19</v>
      </c>
      <c r="H595" s="2" t="s">
        <v>18</v>
      </c>
      <c r="I595" s="2">
        <f t="shared" si="18"/>
        <v>934.2</v>
      </c>
      <c r="J595" s="2">
        <f t="shared" si="19"/>
        <v>3.4757050375772014</v>
      </c>
    </row>
    <row r="596" spans="1:10" x14ac:dyDescent="0.3">
      <c r="A596" s="1">
        <v>45331</v>
      </c>
      <c r="B596">
        <v>1006.25</v>
      </c>
      <c r="C596">
        <v>27.44</v>
      </c>
      <c r="D596">
        <v>4</v>
      </c>
      <c r="E596" s="2" t="s">
        <v>16</v>
      </c>
      <c r="F596" s="2" t="s">
        <v>9</v>
      </c>
      <c r="G596" s="2" t="s">
        <v>10</v>
      </c>
      <c r="H596" s="2" t="s">
        <v>20</v>
      </c>
      <c r="I596" s="2">
        <f t="shared" si="18"/>
        <v>978.81</v>
      </c>
      <c r="J596" s="2">
        <f t="shared" si="19"/>
        <v>35.670918367346935</v>
      </c>
    </row>
    <row r="597" spans="1:10" x14ac:dyDescent="0.3">
      <c r="A597" s="1">
        <v>45376</v>
      </c>
      <c r="B597">
        <v>314.20999999999998</v>
      </c>
      <c r="C597">
        <v>418.61</v>
      </c>
      <c r="D597">
        <v>3</v>
      </c>
      <c r="E597" s="2" t="s">
        <v>8</v>
      </c>
      <c r="F597" s="2" t="s">
        <v>9</v>
      </c>
      <c r="G597" s="2" t="s">
        <v>19</v>
      </c>
      <c r="H597" s="2" t="s">
        <v>11</v>
      </c>
      <c r="I597" s="2">
        <f t="shared" si="18"/>
        <v>-104.40000000000003</v>
      </c>
      <c r="J597" s="2">
        <f t="shared" si="19"/>
        <v>-0.24939681326294172</v>
      </c>
    </row>
    <row r="598" spans="1:10" x14ac:dyDescent="0.3">
      <c r="A598" s="1">
        <v>45385</v>
      </c>
      <c r="B598">
        <v>622.38</v>
      </c>
      <c r="C598">
        <v>490.58</v>
      </c>
      <c r="D598">
        <v>2</v>
      </c>
      <c r="E598" s="2" t="s">
        <v>16</v>
      </c>
      <c r="F598" s="2" t="s">
        <v>17</v>
      </c>
      <c r="G598" s="2" t="s">
        <v>10</v>
      </c>
      <c r="H598" s="2" t="s">
        <v>18</v>
      </c>
      <c r="I598" s="2">
        <f t="shared" si="18"/>
        <v>131.80000000000001</v>
      </c>
      <c r="J598" s="2">
        <f t="shared" si="19"/>
        <v>0.26866158424721759</v>
      </c>
    </row>
    <row r="599" spans="1:10" x14ac:dyDescent="0.3">
      <c r="A599" s="1">
        <v>45331</v>
      </c>
      <c r="B599">
        <v>215.81</v>
      </c>
      <c r="C599">
        <v>441.49</v>
      </c>
      <c r="D599">
        <v>4</v>
      </c>
      <c r="E599" s="2" t="s">
        <v>13</v>
      </c>
      <c r="F599" s="2" t="s">
        <v>17</v>
      </c>
      <c r="G599" s="2" t="s">
        <v>12</v>
      </c>
      <c r="H599" s="2" t="s">
        <v>20</v>
      </c>
      <c r="I599" s="2">
        <f t="shared" si="18"/>
        <v>-225.68</v>
      </c>
      <c r="J599" s="2">
        <f t="shared" si="19"/>
        <v>-0.51117805612811162</v>
      </c>
    </row>
    <row r="600" spans="1:10" x14ac:dyDescent="0.3">
      <c r="A600" s="1">
        <v>45332</v>
      </c>
      <c r="B600">
        <v>1467.67</v>
      </c>
      <c r="C600">
        <v>141.08000000000001</v>
      </c>
      <c r="D600">
        <v>7</v>
      </c>
      <c r="E600" s="2" t="s">
        <v>16</v>
      </c>
      <c r="F600" s="2" t="s">
        <v>9</v>
      </c>
      <c r="G600" s="2" t="s">
        <v>10</v>
      </c>
      <c r="H600" s="2" t="s">
        <v>18</v>
      </c>
      <c r="I600" s="2">
        <f t="shared" si="18"/>
        <v>1326.5900000000001</v>
      </c>
      <c r="J600" s="2">
        <f t="shared" si="19"/>
        <v>9.4031046214913534</v>
      </c>
    </row>
    <row r="601" spans="1:10" x14ac:dyDescent="0.3">
      <c r="A601" s="1">
        <v>45327</v>
      </c>
      <c r="B601">
        <v>228.3</v>
      </c>
      <c r="C601">
        <v>199.58</v>
      </c>
      <c r="D601">
        <v>6</v>
      </c>
      <c r="E601" s="2" t="s">
        <v>8</v>
      </c>
      <c r="F601" s="2" t="s">
        <v>17</v>
      </c>
      <c r="G601" s="2" t="s">
        <v>19</v>
      </c>
      <c r="H601" s="2" t="s">
        <v>15</v>
      </c>
      <c r="I601" s="2">
        <f t="shared" si="18"/>
        <v>28.72</v>
      </c>
      <c r="J601" s="2">
        <f t="shared" si="19"/>
        <v>0.1439021946086782</v>
      </c>
    </row>
    <row r="602" spans="1:10" x14ac:dyDescent="0.3">
      <c r="A602" s="1">
        <v>45350</v>
      </c>
      <c r="B602">
        <v>434.55</v>
      </c>
      <c r="C602">
        <v>74.31</v>
      </c>
      <c r="D602">
        <v>4</v>
      </c>
      <c r="E602" s="2" t="s">
        <v>13</v>
      </c>
      <c r="F602" s="2" t="s">
        <v>9</v>
      </c>
      <c r="G602" s="2" t="s">
        <v>14</v>
      </c>
      <c r="H602" s="2" t="s">
        <v>15</v>
      </c>
      <c r="I602" s="2">
        <f t="shared" si="18"/>
        <v>360.24</v>
      </c>
      <c r="J602" s="2">
        <f t="shared" si="19"/>
        <v>4.8477997577714982</v>
      </c>
    </row>
    <row r="603" spans="1:10" x14ac:dyDescent="0.3">
      <c r="A603" s="1">
        <v>45310</v>
      </c>
      <c r="B603">
        <v>507.88</v>
      </c>
      <c r="C603">
        <v>205.22</v>
      </c>
      <c r="D603">
        <v>0</v>
      </c>
      <c r="E603" s="2" t="s">
        <v>13</v>
      </c>
      <c r="F603" s="2" t="s">
        <v>17</v>
      </c>
      <c r="G603" s="2" t="s">
        <v>12</v>
      </c>
      <c r="H603" s="2" t="s">
        <v>20</v>
      </c>
      <c r="I603" s="2">
        <f t="shared" si="18"/>
        <v>302.65999999999997</v>
      </c>
      <c r="J603" s="2">
        <f t="shared" si="19"/>
        <v>1.4748075236331739</v>
      </c>
    </row>
    <row r="604" spans="1:10" x14ac:dyDescent="0.3">
      <c r="A604" s="1">
        <v>45399</v>
      </c>
      <c r="B604">
        <v>595.49</v>
      </c>
      <c r="C604">
        <v>291.38</v>
      </c>
      <c r="D604">
        <v>6</v>
      </c>
      <c r="E604" s="2" t="s">
        <v>8</v>
      </c>
      <c r="F604" s="2" t="s">
        <v>9</v>
      </c>
      <c r="G604" s="2" t="s">
        <v>19</v>
      </c>
      <c r="H604" s="2" t="s">
        <v>15</v>
      </c>
      <c r="I604" s="2">
        <f t="shared" si="18"/>
        <v>304.11</v>
      </c>
      <c r="J604" s="2">
        <f t="shared" si="19"/>
        <v>1.0436886539913515</v>
      </c>
    </row>
    <row r="605" spans="1:10" x14ac:dyDescent="0.3">
      <c r="A605" s="1">
        <v>45378</v>
      </c>
      <c r="B605">
        <v>1497.3</v>
      </c>
      <c r="C605">
        <v>279.95</v>
      </c>
      <c r="D605">
        <v>3</v>
      </c>
      <c r="E605" s="2" t="s">
        <v>13</v>
      </c>
      <c r="F605" s="2" t="s">
        <v>9</v>
      </c>
      <c r="G605" s="2" t="s">
        <v>10</v>
      </c>
      <c r="H605" s="2" t="s">
        <v>15</v>
      </c>
      <c r="I605" s="2">
        <f t="shared" si="18"/>
        <v>1217.3499999999999</v>
      </c>
      <c r="J605" s="2">
        <f t="shared" si="19"/>
        <v>4.3484550812645111</v>
      </c>
    </row>
    <row r="606" spans="1:10" x14ac:dyDescent="0.3">
      <c r="A606" s="1">
        <v>45324</v>
      </c>
      <c r="B606">
        <v>845.11</v>
      </c>
      <c r="C606">
        <v>21.28</v>
      </c>
      <c r="D606">
        <v>8</v>
      </c>
      <c r="E606" s="2" t="s">
        <v>8</v>
      </c>
      <c r="F606" s="2" t="s">
        <v>17</v>
      </c>
      <c r="G606" s="2" t="s">
        <v>12</v>
      </c>
      <c r="H606" s="2" t="s">
        <v>20</v>
      </c>
      <c r="I606" s="2">
        <f t="shared" si="18"/>
        <v>823.83</v>
      </c>
      <c r="J606" s="2">
        <f t="shared" si="19"/>
        <v>38.713815789473685</v>
      </c>
    </row>
    <row r="607" spans="1:10" x14ac:dyDescent="0.3">
      <c r="A607" s="1">
        <v>45350</v>
      </c>
      <c r="B607">
        <v>1417.05</v>
      </c>
      <c r="C607">
        <v>162.77000000000001</v>
      </c>
      <c r="D607">
        <v>0</v>
      </c>
      <c r="E607" s="2" t="s">
        <v>13</v>
      </c>
      <c r="F607" s="2" t="s">
        <v>17</v>
      </c>
      <c r="G607" s="2" t="s">
        <v>14</v>
      </c>
      <c r="H607" s="2" t="s">
        <v>20</v>
      </c>
      <c r="I607" s="2">
        <f t="shared" si="18"/>
        <v>1254.28</v>
      </c>
      <c r="J607" s="2">
        <f t="shared" si="19"/>
        <v>7.7058425999877125</v>
      </c>
    </row>
    <row r="608" spans="1:10" x14ac:dyDescent="0.3">
      <c r="A608" s="1">
        <v>45356</v>
      </c>
      <c r="B608">
        <v>243.75</v>
      </c>
      <c r="C608">
        <v>483.29</v>
      </c>
      <c r="D608">
        <v>4</v>
      </c>
      <c r="E608" s="2" t="s">
        <v>13</v>
      </c>
      <c r="F608" s="2" t="s">
        <v>9</v>
      </c>
      <c r="G608" s="2" t="s">
        <v>14</v>
      </c>
      <c r="H608" s="2" t="s">
        <v>15</v>
      </c>
      <c r="I608" s="2">
        <f t="shared" si="18"/>
        <v>-239.54000000000002</v>
      </c>
      <c r="J608" s="2">
        <f t="shared" si="19"/>
        <v>-0.49564443708746303</v>
      </c>
    </row>
    <row r="609" spans="1:10" x14ac:dyDescent="0.3">
      <c r="A609" s="1">
        <v>45380</v>
      </c>
      <c r="B609">
        <v>222.2</v>
      </c>
      <c r="C609">
        <v>250.58</v>
      </c>
      <c r="D609">
        <v>2</v>
      </c>
      <c r="E609" s="2" t="s">
        <v>16</v>
      </c>
      <c r="F609" s="2" t="s">
        <v>17</v>
      </c>
      <c r="G609" s="2" t="s">
        <v>12</v>
      </c>
      <c r="H609" s="2" t="s">
        <v>20</v>
      </c>
      <c r="I609" s="2">
        <f t="shared" si="18"/>
        <v>-28.380000000000024</v>
      </c>
      <c r="J609" s="2">
        <f t="shared" si="19"/>
        <v>-0.11325724319578587</v>
      </c>
    </row>
    <row r="610" spans="1:10" x14ac:dyDescent="0.3">
      <c r="A610" s="1">
        <v>45312</v>
      </c>
      <c r="B610">
        <v>158.66</v>
      </c>
      <c r="C610">
        <v>332.23</v>
      </c>
      <c r="D610">
        <v>6</v>
      </c>
      <c r="E610" s="2" t="s">
        <v>8</v>
      </c>
      <c r="F610" s="2" t="s">
        <v>9</v>
      </c>
      <c r="G610" s="2" t="s">
        <v>14</v>
      </c>
      <c r="H610" s="2" t="s">
        <v>20</v>
      </c>
      <c r="I610" s="2">
        <f t="shared" si="18"/>
        <v>-173.57000000000002</v>
      </c>
      <c r="J610" s="2">
        <f t="shared" si="19"/>
        <v>-0.52243927399692991</v>
      </c>
    </row>
    <row r="611" spans="1:10" x14ac:dyDescent="0.3">
      <c r="A611" s="1">
        <v>45405</v>
      </c>
      <c r="B611">
        <v>1353.08</v>
      </c>
      <c r="C611">
        <v>176.32</v>
      </c>
      <c r="D611">
        <v>8</v>
      </c>
      <c r="E611" s="2" t="s">
        <v>13</v>
      </c>
      <c r="F611" s="2" t="s">
        <v>17</v>
      </c>
      <c r="G611" s="2" t="s">
        <v>14</v>
      </c>
      <c r="H611" s="2" t="s">
        <v>15</v>
      </c>
      <c r="I611" s="2">
        <f t="shared" si="18"/>
        <v>1176.76</v>
      </c>
      <c r="J611" s="2">
        <f t="shared" si="19"/>
        <v>6.6740018148820326</v>
      </c>
    </row>
    <row r="612" spans="1:10" x14ac:dyDescent="0.3">
      <c r="A612" s="1">
        <v>45339</v>
      </c>
      <c r="B612">
        <v>640.19000000000005</v>
      </c>
      <c r="C612">
        <v>159.15</v>
      </c>
      <c r="D612">
        <v>6</v>
      </c>
      <c r="E612" s="2" t="s">
        <v>13</v>
      </c>
      <c r="F612" s="2" t="s">
        <v>17</v>
      </c>
      <c r="G612" s="2" t="s">
        <v>19</v>
      </c>
      <c r="H612" s="2" t="s">
        <v>11</v>
      </c>
      <c r="I612" s="2">
        <f t="shared" si="18"/>
        <v>481.04000000000008</v>
      </c>
      <c r="J612" s="2">
        <f t="shared" si="19"/>
        <v>3.022557335846686</v>
      </c>
    </row>
    <row r="613" spans="1:10" x14ac:dyDescent="0.3">
      <c r="A613" s="1">
        <v>45293</v>
      </c>
      <c r="B613">
        <v>1409.71</v>
      </c>
      <c r="C613">
        <v>431.29</v>
      </c>
      <c r="D613">
        <v>7</v>
      </c>
      <c r="E613" s="2" t="s">
        <v>16</v>
      </c>
      <c r="F613" s="2" t="s">
        <v>17</v>
      </c>
      <c r="G613" s="2" t="s">
        <v>10</v>
      </c>
      <c r="H613" s="2" t="s">
        <v>15</v>
      </c>
      <c r="I613" s="2">
        <f t="shared" si="18"/>
        <v>978.42000000000007</v>
      </c>
      <c r="J613" s="2">
        <f t="shared" si="19"/>
        <v>2.2685895800969185</v>
      </c>
    </row>
    <row r="614" spans="1:10" x14ac:dyDescent="0.3">
      <c r="A614" s="1">
        <v>45363</v>
      </c>
      <c r="B614">
        <v>405.18</v>
      </c>
      <c r="C614">
        <v>473.72</v>
      </c>
      <c r="D614">
        <v>7</v>
      </c>
      <c r="E614" s="2" t="s">
        <v>13</v>
      </c>
      <c r="F614" s="2" t="s">
        <v>17</v>
      </c>
      <c r="G614" s="2" t="s">
        <v>10</v>
      </c>
      <c r="H614" s="2" t="s">
        <v>20</v>
      </c>
      <c r="I614" s="2">
        <f t="shared" si="18"/>
        <v>-68.54000000000002</v>
      </c>
      <c r="J614" s="2">
        <f t="shared" si="19"/>
        <v>-0.1446846238284219</v>
      </c>
    </row>
    <row r="615" spans="1:10" x14ac:dyDescent="0.3">
      <c r="A615" s="1">
        <v>45336</v>
      </c>
      <c r="B615">
        <v>82.29</v>
      </c>
      <c r="C615">
        <v>467.39</v>
      </c>
      <c r="D615">
        <v>4</v>
      </c>
      <c r="E615" s="2" t="s">
        <v>8</v>
      </c>
      <c r="F615" s="2" t="s">
        <v>9</v>
      </c>
      <c r="G615" s="2" t="s">
        <v>10</v>
      </c>
      <c r="H615" s="2" t="s">
        <v>18</v>
      </c>
      <c r="I615" s="2">
        <f t="shared" si="18"/>
        <v>-385.09999999999997</v>
      </c>
      <c r="J615" s="2">
        <f t="shared" si="19"/>
        <v>-0.82393718308051089</v>
      </c>
    </row>
    <row r="616" spans="1:10" x14ac:dyDescent="0.3">
      <c r="A616" s="1">
        <v>45399</v>
      </c>
      <c r="B616">
        <v>1246.05</v>
      </c>
      <c r="C616">
        <v>313.08999999999997</v>
      </c>
      <c r="D616">
        <v>3</v>
      </c>
      <c r="E616" s="2" t="s">
        <v>8</v>
      </c>
      <c r="F616" s="2" t="s">
        <v>9</v>
      </c>
      <c r="G616" s="2" t="s">
        <v>10</v>
      </c>
      <c r="H616" s="2" t="s">
        <v>11</v>
      </c>
      <c r="I616" s="2">
        <f t="shared" si="18"/>
        <v>932.96</v>
      </c>
      <c r="J616" s="2">
        <f t="shared" si="19"/>
        <v>2.9798460506563611</v>
      </c>
    </row>
    <row r="617" spans="1:10" x14ac:dyDescent="0.3">
      <c r="A617" s="1">
        <v>45389</v>
      </c>
      <c r="B617">
        <v>472.77</v>
      </c>
      <c r="C617">
        <v>54.93</v>
      </c>
      <c r="D617">
        <v>3</v>
      </c>
      <c r="E617" s="2" t="s">
        <v>8</v>
      </c>
      <c r="F617" s="2" t="s">
        <v>9</v>
      </c>
      <c r="G617" s="2" t="s">
        <v>12</v>
      </c>
      <c r="H617" s="2" t="s">
        <v>18</v>
      </c>
      <c r="I617" s="2">
        <f t="shared" si="18"/>
        <v>417.84</v>
      </c>
      <c r="J617" s="2">
        <f t="shared" si="19"/>
        <v>7.6067722555980337</v>
      </c>
    </row>
    <row r="618" spans="1:10" x14ac:dyDescent="0.3">
      <c r="A618" s="1">
        <v>45399</v>
      </c>
      <c r="B618">
        <v>826.15</v>
      </c>
      <c r="C618">
        <v>37.369999999999997</v>
      </c>
      <c r="D618">
        <v>4</v>
      </c>
      <c r="E618" s="2" t="s">
        <v>16</v>
      </c>
      <c r="F618" s="2" t="s">
        <v>9</v>
      </c>
      <c r="G618" s="2" t="s">
        <v>19</v>
      </c>
      <c r="H618" s="2" t="s">
        <v>20</v>
      </c>
      <c r="I618" s="2">
        <f t="shared" si="18"/>
        <v>788.78</v>
      </c>
      <c r="J618" s="2">
        <f t="shared" si="19"/>
        <v>21.107305325127108</v>
      </c>
    </row>
    <row r="619" spans="1:10" x14ac:dyDescent="0.3">
      <c r="A619" s="1">
        <v>45396</v>
      </c>
      <c r="B619">
        <v>416.16</v>
      </c>
      <c r="C619">
        <v>29.4</v>
      </c>
      <c r="D619">
        <v>8</v>
      </c>
      <c r="E619" s="2" t="s">
        <v>16</v>
      </c>
      <c r="F619" s="2" t="s">
        <v>17</v>
      </c>
      <c r="G619" s="2" t="s">
        <v>10</v>
      </c>
      <c r="H619" s="2" t="s">
        <v>11</v>
      </c>
      <c r="I619" s="2">
        <f t="shared" si="18"/>
        <v>386.76000000000005</v>
      </c>
      <c r="J619" s="2">
        <f t="shared" si="19"/>
        <v>13.155102040816329</v>
      </c>
    </row>
    <row r="620" spans="1:10" x14ac:dyDescent="0.3">
      <c r="A620" s="1">
        <v>45381</v>
      </c>
      <c r="B620">
        <v>969.6</v>
      </c>
      <c r="C620">
        <v>497.53</v>
      </c>
      <c r="D620">
        <v>1</v>
      </c>
      <c r="E620" s="2" t="s">
        <v>8</v>
      </c>
      <c r="F620" s="2" t="s">
        <v>17</v>
      </c>
      <c r="G620" s="2" t="s">
        <v>14</v>
      </c>
      <c r="H620" s="2" t="s">
        <v>20</v>
      </c>
      <c r="I620" s="2">
        <f t="shared" si="18"/>
        <v>472.07000000000005</v>
      </c>
      <c r="J620" s="2">
        <f t="shared" si="19"/>
        <v>0.94882720639961426</v>
      </c>
    </row>
    <row r="621" spans="1:10" x14ac:dyDescent="0.3">
      <c r="A621" s="1">
        <v>45328</v>
      </c>
      <c r="B621">
        <v>81.72</v>
      </c>
      <c r="C621">
        <v>107.14</v>
      </c>
      <c r="D621">
        <v>0</v>
      </c>
      <c r="E621" s="2" t="s">
        <v>13</v>
      </c>
      <c r="F621" s="2" t="s">
        <v>9</v>
      </c>
      <c r="G621" s="2" t="s">
        <v>14</v>
      </c>
      <c r="H621" s="2" t="s">
        <v>11</v>
      </c>
      <c r="I621" s="2">
        <f t="shared" si="18"/>
        <v>-25.42</v>
      </c>
      <c r="J621" s="2">
        <f t="shared" si="19"/>
        <v>-0.23725966025760689</v>
      </c>
    </row>
    <row r="622" spans="1:10" x14ac:dyDescent="0.3">
      <c r="A622" s="1">
        <v>45387</v>
      </c>
      <c r="B622">
        <v>333.74</v>
      </c>
      <c r="C622">
        <v>376.58</v>
      </c>
      <c r="D622">
        <v>6</v>
      </c>
      <c r="E622" s="2" t="s">
        <v>16</v>
      </c>
      <c r="F622" s="2" t="s">
        <v>9</v>
      </c>
      <c r="G622" s="2" t="s">
        <v>10</v>
      </c>
      <c r="H622" s="2" t="s">
        <v>11</v>
      </c>
      <c r="I622" s="2">
        <f t="shared" si="18"/>
        <v>-42.839999999999975</v>
      </c>
      <c r="J622" s="2">
        <f t="shared" si="19"/>
        <v>-0.11376068829996276</v>
      </c>
    </row>
    <row r="623" spans="1:10" x14ac:dyDescent="0.3">
      <c r="A623" s="1">
        <v>45318</v>
      </c>
      <c r="B623">
        <v>108.5</v>
      </c>
      <c r="C623">
        <v>282.49</v>
      </c>
      <c r="D623">
        <v>4</v>
      </c>
      <c r="E623" s="2" t="s">
        <v>13</v>
      </c>
      <c r="F623" s="2" t="s">
        <v>9</v>
      </c>
      <c r="G623" s="2" t="s">
        <v>14</v>
      </c>
      <c r="H623" s="2" t="s">
        <v>15</v>
      </c>
      <c r="I623" s="2">
        <f t="shared" si="18"/>
        <v>-173.99</v>
      </c>
      <c r="J623" s="2">
        <f t="shared" si="19"/>
        <v>-0.6159156076321286</v>
      </c>
    </row>
    <row r="624" spans="1:10" x14ac:dyDescent="0.3">
      <c r="A624" s="1">
        <v>45323</v>
      </c>
      <c r="B624">
        <v>50.14</v>
      </c>
      <c r="C624">
        <v>299.17</v>
      </c>
      <c r="D624">
        <v>9</v>
      </c>
      <c r="E624" s="2" t="s">
        <v>13</v>
      </c>
      <c r="F624" s="2" t="s">
        <v>17</v>
      </c>
      <c r="G624" s="2" t="s">
        <v>10</v>
      </c>
      <c r="H624" s="2" t="s">
        <v>18</v>
      </c>
      <c r="I624" s="2">
        <f t="shared" si="18"/>
        <v>-249.03000000000003</v>
      </c>
      <c r="J624" s="2">
        <f t="shared" si="19"/>
        <v>-0.83240298158237802</v>
      </c>
    </row>
    <row r="625" spans="1:10" x14ac:dyDescent="0.3">
      <c r="A625" s="1">
        <v>45378</v>
      </c>
      <c r="B625">
        <v>1410.68</v>
      </c>
      <c r="C625">
        <v>269.2</v>
      </c>
      <c r="D625">
        <v>2</v>
      </c>
      <c r="E625" s="2" t="s">
        <v>16</v>
      </c>
      <c r="F625" s="2" t="s">
        <v>17</v>
      </c>
      <c r="G625" s="2" t="s">
        <v>12</v>
      </c>
      <c r="H625" s="2" t="s">
        <v>11</v>
      </c>
      <c r="I625" s="2">
        <f t="shared" si="18"/>
        <v>1141.48</v>
      </c>
      <c r="J625" s="2">
        <f t="shared" si="19"/>
        <v>4.2402674591381873</v>
      </c>
    </row>
    <row r="626" spans="1:10" x14ac:dyDescent="0.3">
      <c r="A626" s="1">
        <v>45407</v>
      </c>
      <c r="B626">
        <v>1005.02</v>
      </c>
      <c r="C626">
        <v>231.47</v>
      </c>
      <c r="D626">
        <v>9</v>
      </c>
      <c r="E626" s="2" t="s">
        <v>13</v>
      </c>
      <c r="F626" s="2" t="s">
        <v>9</v>
      </c>
      <c r="G626" s="2" t="s">
        <v>14</v>
      </c>
      <c r="H626" s="2" t="s">
        <v>20</v>
      </c>
      <c r="I626" s="2">
        <f t="shared" si="18"/>
        <v>773.55</v>
      </c>
      <c r="J626" s="2">
        <f t="shared" si="19"/>
        <v>3.341901758327213</v>
      </c>
    </row>
    <row r="627" spans="1:10" x14ac:dyDescent="0.3">
      <c r="A627" s="1">
        <v>45329</v>
      </c>
      <c r="B627">
        <v>1223.78</v>
      </c>
      <c r="C627">
        <v>206.51</v>
      </c>
      <c r="D627">
        <v>2</v>
      </c>
      <c r="E627" s="2" t="s">
        <v>8</v>
      </c>
      <c r="F627" s="2" t="s">
        <v>9</v>
      </c>
      <c r="G627" s="2" t="s">
        <v>14</v>
      </c>
      <c r="H627" s="2" t="s">
        <v>15</v>
      </c>
      <c r="I627" s="2">
        <f t="shared" si="18"/>
        <v>1017.27</v>
      </c>
      <c r="J627" s="2">
        <f t="shared" si="19"/>
        <v>4.9260084257420953</v>
      </c>
    </row>
    <row r="628" spans="1:10" x14ac:dyDescent="0.3">
      <c r="A628" s="1">
        <v>45346</v>
      </c>
      <c r="B628">
        <v>709.96</v>
      </c>
      <c r="C628">
        <v>415.29</v>
      </c>
      <c r="D628">
        <v>7</v>
      </c>
      <c r="E628" s="2" t="s">
        <v>16</v>
      </c>
      <c r="F628" s="2" t="s">
        <v>9</v>
      </c>
      <c r="G628" s="2" t="s">
        <v>10</v>
      </c>
      <c r="H628" s="2" t="s">
        <v>15</v>
      </c>
      <c r="I628" s="2">
        <f t="shared" si="18"/>
        <v>294.67</v>
      </c>
      <c r="J628" s="2">
        <f t="shared" si="19"/>
        <v>0.70955236100074648</v>
      </c>
    </row>
    <row r="629" spans="1:10" x14ac:dyDescent="0.3">
      <c r="A629" s="1">
        <v>45397</v>
      </c>
      <c r="B629">
        <v>910.58</v>
      </c>
      <c r="C629">
        <v>147.31</v>
      </c>
      <c r="D629">
        <v>3</v>
      </c>
      <c r="E629" s="2" t="s">
        <v>8</v>
      </c>
      <c r="F629" s="2" t="s">
        <v>17</v>
      </c>
      <c r="G629" s="2" t="s">
        <v>12</v>
      </c>
      <c r="H629" s="2" t="s">
        <v>20</v>
      </c>
      <c r="I629" s="2">
        <f t="shared" si="18"/>
        <v>763.27</v>
      </c>
      <c r="J629" s="2">
        <f t="shared" si="19"/>
        <v>5.1813861923834086</v>
      </c>
    </row>
    <row r="630" spans="1:10" x14ac:dyDescent="0.3">
      <c r="A630" s="1">
        <v>45314</v>
      </c>
      <c r="B630">
        <v>984.42</v>
      </c>
      <c r="C630">
        <v>24.09</v>
      </c>
      <c r="D630">
        <v>6</v>
      </c>
      <c r="E630" s="2" t="s">
        <v>13</v>
      </c>
      <c r="F630" s="2" t="s">
        <v>17</v>
      </c>
      <c r="G630" s="2" t="s">
        <v>10</v>
      </c>
      <c r="H630" s="2" t="s">
        <v>20</v>
      </c>
      <c r="I630" s="2">
        <f t="shared" si="18"/>
        <v>960.32999999999993</v>
      </c>
      <c r="J630" s="2">
        <f t="shared" si="19"/>
        <v>39.864259028642586</v>
      </c>
    </row>
    <row r="631" spans="1:10" x14ac:dyDescent="0.3">
      <c r="A631" s="1">
        <v>45374</v>
      </c>
      <c r="B631">
        <v>968.57</v>
      </c>
      <c r="C631">
        <v>37.43</v>
      </c>
      <c r="D631">
        <v>7</v>
      </c>
      <c r="E631" s="2" t="s">
        <v>8</v>
      </c>
      <c r="F631" s="2" t="s">
        <v>9</v>
      </c>
      <c r="G631" s="2" t="s">
        <v>14</v>
      </c>
      <c r="H631" s="2" t="s">
        <v>11</v>
      </c>
      <c r="I631" s="2">
        <f t="shared" si="18"/>
        <v>931.1400000000001</v>
      </c>
      <c r="J631" s="2">
        <f t="shared" si="19"/>
        <v>24.876836761955655</v>
      </c>
    </row>
    <row r="632" spans="1:10" x14ac:dyDescent="0.3">
      <c r="A632" s="1">
        <v>45384</v>
      </c>
      <c r="B632">
        <v>465.37</v>
      </c>
      <c r="C632">
        <v>112.66</v>
      </c>
      <c r="D632">
        <v>6</v>
      </c>
      <c r="E632" s="2" t="s">
        <v>16</v>
      </c>
      <c r="F632" s="2" t="s">
        <v>17</v>
      </c>
      <c r="G632" s="2" t="s">
        <v>14</v>
      </c>
      <c r="H632" s="2" t="s">
        <v>20</v>
      </c>
      <c r="I632" s="2">
        <f t="shared" si="18"/>
        <v>352.71000000000004</v>
      </c>
      <c r="J632" s="2">
        <f t="shared" si="19"/>
        <v>3.1307473815018643</v>
      </c>
    </row>
    <row r="633" spans="1:10" x14ac:dyDescent="0.3">
      <c r="A633" s="1">
        <v>45392</v>
      </c>
      <c r="B633">
        <v>658.97</v>
      </c>
      <c r="C633">
        <v>414.35</v>
      </c>
      <c r="D633">
        <v>1</v>
      </c>
      <c r="E633" s="2" t="s">
        <v>8</v>
      </c>
      <c r="F633" s="2" t="s">
        <v>9</v>
      </c>
      <c r="G633" s="2" t="s">
        <v>14</v>
      </c>
      <c r="H633" s="2" t="s">
        <v>20</v>
      </c>
      <c r="I633" s="2">
        <f t="shared" si="18"/>
        <v>244.62</v>
      </c>
      <c r="J633" s="2">
        <f t="shared" si="19"/>
        <v>0.59037045975624469</v>
      </c>
    </row>
    <row r="634" spans="1:10" x14ac:dyDescent="0.3">
      <c r="A634" s="1">
        <v>45406</v>
      </c>
      <c r="B634">
        <v>1486.33</v>
      </c>
      <c r="C634">
        <v>36.47</v>
      </c>
      <c r="D634">
        <v>8</v>
      </c>
      <c r="E634" s="2" t="s">
        <v>13</v>
      </c>
      <c r="F634" s="2" t="s">
        <v>17</v>
      </c>
      <c r="G634" s="2" t="s">
        <v>14</v>
      </c>
      <c r="H634" s="2" t="s">
        <v>18</v>
      </c>
      <c r="I634" s="2">
        <f t="shared" si="18"/>
        <v>1449.86</v>
      </c>
      <c r="J634" s="2">
        <f t="shared" si="19"/>
        <v>39.754867013984097</v>
      </c>
    </row>
    <row r="635" spans="1:10" x14ac:dyDescent="0.3">
      <c r="A635" s="1">
        <v>45399</v>
      </c>
      <c r="B635">
        <v>664.06</v>
      </c>
      <c r="C635">
        <v>385.39</v>
      </c>
      <c r="D635">
        <v>1</v>
      </c>
      <c r="E635" s="2" t="s">
        <v>8</v>
      </c>
      <c r="F635" s="2" t="s">
        <v>17</v>
      </c>
      <c r="G635" s="2" t="s">
        <v>19</v>
      </c>
      <c r="H635" s="2" t="s">
        <v>11</v>
      </c>
      <c r="I635" s="2">
        <f t="shared" si="18"/>
        <v>278.66999999999996</v>
      </c>
      <c r="J635" s="2">
        <f t="shared" si="19"/>
        <v>0.7230857053893458</v>
      </c>
    </row>
    <row r="636" spans="1:10" x14ac:dyDescent="0.3">
      <c r="A636" s="1">
        <v>45322</v>
      </c>
      <c r="B636">
        <v>328.75</v>
      </c>
      <c r="C636">
        <v>66.47</v>
      </c>
      <c r="D636">
        <v>4</v>
      </c>
      <c r="E636" s="2" t="s">
        <v>13</v>
      </c>
      <c r="F636" s="2" t="s">
        <v>9</v>
      </c>
      <c r="G636" s="2" t="s">
        <v>14</v>
      </c>
      <c r="H636" s="2" t="s">
        <v>15</v>
      </c>
      <c r="I636" s="2">
        <f t="shared" si="18"/>
        <v>262.27999999999997</v>
      </c>
      <c r="J636" s="2">
        <f t="shared" si="19"/>
        <v>3.9458402286745895</v>
      </c>
    </row>
    <row r="637" spans="1:10" x14ac:dyDescent="0.3">
      <c r="A637" s="1">
        <v>45304</v>
      </c>
      <c r="B637">
        <v>1261.1199999999999</v>
      </c>
      <c r="C637">
        <v>418.26</v>
      </c>
      <c r="D637">
        <v>9</v>
      </c>
      <c r="E637" s="2" t="s">
        <v>16</v>
      </c>
      <c r="F637" s="2" t="s">
        <v>9</v>
      </c>
      <c r="G637" s="2" t="s">
        <v>10</v>
      </c>
      <c r="H637" s="2" t="s">
        <v>20</v>
      </c>
      <c r="I637" s="2">
        <f t="shared" si="18"/>
        <v>842.8599999999999</v>
      </c>
      <c r="J637" s="2">
        <f t="shared" si="19"/>
        <v>2.0151580356715915</v>
      </c>
    </row>
    <row r="638" spans="1:10" x14ac:dyDescent="0.3">
      <c r="A638" s="1">
        <v>45407</v>
      </c>
      <c r="B638">
        <v>1194.44</v>
      </c>
      <c r="C638">
        <v>486.41</v>
      </c>
      <c r="D638">
        <v>8</v>
      </c>
      <c r="E638" s="2" t="s">
        <v>13</v>
      </c>
      <c r="F638" s="2" t="s">
        <v>9</v>
      </c>
      <c r="G638" s="2" t="s">
        <v>12</v>
      </c>
      <c r="H638" s="2" t="s">
        <v>18</v>
      </c>
      <c r="I638" s="2">
        <f t="shared" si="18"/>
        <v>708.03</v>
      </c>
      <c r="J638" s="2">
        <f t="shared" si="19"/>
        <v>1.4556238564174255</v>
      </c>
    </row>
    <row r="639" spans="1:10" x14ac:dyDescent="0.3">
      <c r="A639" s="1">
        <v>45381</v>
      </c>
      <c r="B639">
        <v>1288.04</v>
      </c>
      <c r="C639">
        <v>32.369999999999997</v>
      </c>
      <c r="D639">
        <v>3</v>
      </c>
      <c r="E639" s="2" t="s">
        <v>16</v>
      </c>
      <c r="F639" s="2" t="s">
        <v>17</v>
      </c>
      <c r="G639" s="2" t="s">
        <v>19</v>
      </c>
      <c r="H639" s="2" t="s">
        <v>11</v>
      </c>
      <c r="I639" s="2">
        <f t="shared" si="18"/>
        <v>1255.67</v>
      </c>
      <c r="J639" s="2">
        <f t="shared" si="19"/>
        <v>38.791164658634543</v>
      </c>
    </row>
    <row r="640" spans="1:10" x14ac:dyDescent="0.3">
      <c r="A640" s="1">
        <v>45407</v>
      </c>
      <c r="B640">
        <v>226.46</v>
      </c>
      <c r="C640">
        <v>296.31</v>
      </c>
      <c r="D640">
        <v>8</v>
      </c>
      <c r="E640" s="2" t="s">
        <v>13</v>
      </c>
      <c r="F640" s="2" t="s">
        <v>17</v>
      </c>
      <c r="G640" s="2" t="s">
        <v>19</v>
      </c>
      <c r="H640" s="2" t="s">
        <v>20</v>
      </c>
      <c r="I640" s="2">
        <f t="shared" si="18"/>
        <v>-69.849999999999994</v>
      </c>
      <c r="J640" s="2">
        <f t="shared" si="19"/>
        <v>-0.23573284735580977</v>
      </c>
    </row>
    <row r="641" spans="1:10" x14ac:dyDescent="0.3">
      <c r="A641" s="1">
        <v>45403</v>
      </c>
      <c r="B641">
        <v>1408.12</v>
      </c>
      <c r="C641">
        <v>477.91</v>
      </c>
      <c r="D641">
        <v>0</v>
      </c>
      <c r="E641" s="2" t="s">
        <v>8</v>
      </c>
      <c r="F641" s="2" t="s">
        <v>9</v>
      </c>
      <c r="G641" s="2" t="s">
        <v>12</v>
      </c>
      <c r="H641" s="2" t="s">
        <v>11</v>
      </c>
      <c r="I641" s="2">
        <f t="shared" si="18"/>
        <v>930.20999999999981</v>
      </c>
      <c r="J641" s="2">
        <f t="shared" si="19"/>
        <v>1.9464125044464433</v>
      </c>
    </row>
    <row r="642" spans="1:10" x14ac:dyDescent="0.3">
      <c r="A642" s="1">
        <v>45335</v>
      </c>
      <c r="B642">
        <v>412.75</v>
      </c>
      <c r="C642">
        <v>258.83</v>
      </c>
      <c r="D642">
        <v>7</v>
      </c>
      <c r="E642" s="2" t="s">
        <v>13</v>
      </c>
      <c r="F642" s="2" t="s">
        <v>9</v>
      </c>
      <c r="G642" s="2" t="s">
        <v>12</v>
      </c>
      <c r="H642" s="2" t="s">
        <v>11</v>
      </c>
      <c r="I642" s="2">
        <f t="shared" ref="I642:I705" si="20">B642-C642</f>
        <v>153.92000000000002</v>
      </c>
      <c r="J642" s="2">
        <f t="shared" ref="J642:J705" si="21">IF(C642=0,0,I642/C642)</f>
        <v>0.59467604218985448</v>
      </c>
    </row>
    <row r="643" spans="1:10" x14ac:dyDescent="0.3">
      <c r="A643" s="1">
        <v>45355</v>
      </c>
      <c r="B643">
        <v>1168.04</v>
      </c>
      <c r="C643">
        <v>343.09</v>
      </c>
      <c r="D643">
        <v>0</v>
      </c>
      <c r="E643" s="2" t="s">
        <v>16</v>
      </c>
      <c r="F643" s="2" t="s">
        <v>9</v>
      </c>
      <c r="G643" s="2" t="s">
        <v>10</v>
      </c>
      <c r="H643" s="2" t="s">
        <v>11</v>
      </c>
      <c r="I643" s="2">
        <f t="shared" si="20"/>
        <v>824.95</v>
      </c>
      <c r="J643" s="2">
        <f t="shared" si="21"/>
        <v>2.4044711300241923</v>
      </c>
    </row>
    <row r="644" spans="1:10" x14ac:dyDescent="0.3">
      <c r="A644" s="1">
        <v>45310</v>
      </c>
      <c r="B644">
        <v>660.24</v>
      </c>
      <c r="C644">
        <v>76.41</v>
      </c>
      <c r="D644">
        <v>10</v>
      </c>
      <c r="E644" s="2" t="s">
        <v>16</v>
      </c>
      <c r="F644" s="2" t="s">
        <v>9</v>
      </c>
      <c r="G644" s="2" t="s">
        <v>12</v>
      </c>
      <c r="H644" s="2" t="s">
        <v>18</v>
      </c>
      <c r="I644" s="2">
        <f t="shared" si="20"/>
        <v>583.83000000000004</v>
      </c>
      <c r="J644" s="2">
        <f t="shared" si="21"/>
        <v>7.640753828032981</v>
      </c>
    </row>
    <row r="645" spans="1:10" x14ac:dyDescent="0.3">
      <c r="A645" s="1">
        <v>45334</v>
      </c>
      <c r="B645">
        <v>412.22</v>
      </c>
      <c r="C645">
        <v>123.2</v>
      </c>
      <c r="D645">
        <v>5</v>
      </c>
      <c r="E645" s="2" t="s">
        <v>16</v>
      </c>
      <c r="F645" s="2" t="s">
        <v>9</v>
      </c>
      <c r="G645" s="2" t="s">
        <v>19</v>
      </c>
      <c r="H645" s="2" t="s">
        <v>15</v>
      </c>
      <c r="I645" s="2">
        <f t="shared" si="20"/>
        <v>289.02000000000004</v>
      </c>
      <c r="J645" s="2">
        <f t="shared" si="21"/>
        <v>2.3459415584415586</v>
      </c>
    </row>
    <row r="646" spans="1:10" x14ac:dyDescent="0.3">
      <c r="A646" s="1">
        <v>45334</v>
      </c>
      <c r="B646">
        <v>190.56</v>
      </c>
      <c r="C646">
        <v>303.7</v>
      </c>
      <c r="D646">
        <v>0</v>
      </c>
      <c r="E646" s="2" t="s">
        <v>8</v>
      </c>
      <c r="F646" s="2" t="s">
        <v>9</v>
      </c>
      <c r="G646" s="2" t="s">
        <v>19</v>
      </c>
      <c r="H646" s="2" t="s">
        <v>11</v>
      </c>
      <c r="I646" s="2">
        <f t="shared" si="20"/>
        <v>-113.13999999999999</v>
      </c>
      <c r="J646" s="2">
        <f t="shared" si="21"/>
        <v>-0.37253868949621333</v>
      </c>
    </row>
    <row r="647" spans="1:10" x14ac:dyDescent="0.3">
      <c r="A647" s="1">
        <v>45361</v>
      </c>
      <c r="B647">
        <v>477.9</v>
      </c>
      <c r="C647">
        <v>228.73</v>
      </c>
      <c r="D647">
        <v>1</v>
      </c>
      <c r="E647" s="2" t="s">
        <v>13</v>
      </c>
      <c r="F647" s="2" t="s">
        <v>9</v>
      </c>
      <c r="G647" s="2" t="s">
        <v>10</v>
      </c>
      <c r="H647" s="2" t="s">
        <v>18</v>
      </c>
      <c r="I647" s="2">
        <f t="shared" si="20"/>
        <v>249.17</v>
      </c>
      <c r="J647" s="2">
        <f t="shared" si="21"/>
        <v>1.0893630044156866</v>
      </c>
    </row>
    <row r="648" spans="1:10" x14ac:dyDescent="0.3">
      <c r="A648" s="1">
        <v>45337</v>
      </c>
      <c r="B648">
        <v>65.150000000000006</v>
      </c>
      <c r="C648">
        <v>185.79</v>
      </c>
      <c r="D648">
        <v>10</v>
      </c>
      <c r="E648" s="2" t="s">
        <v>8</v>
      </c>
      <c r="F648" s="2" t="s">
        <v>9</v>
      </c>
      <c r="G648" s="2" t="s">
        <v>12</v>
      </c>
      <c r="H648" s="2" t="s">
        <v>11</v>
      </c>
      <c r="I648" s="2">
        <f t="shared" si="20"/>
        <v>-120.63999999999999</v>
      </c>
      <c r="J648" s="2">
        <f t="shared" si="21"/>
        <v>-0.64933527100489796</v>
      </c>
    </row>
    <row r="649" spans="1:10" x14ac:dyDescent="0.3">
      <c r="A649" s="1">
        <v>45392</v>
      </c>
      <c r="B649">
        <v>830.28</v>
      </c>
      <c r="C649">
        <v>296.22000000000003</v>
      </c>
      <c r="D649">
        <v>9</v>
      </c>
      <c r="E649" s="2" t="s">
        <v>8</v>
      </c>
      <c r="F649" s="2" t="s">
        <v>9</v>
      </c>
      <c r="G649" s="2" t="s">
        <v>19</v>
      </c>
      <c r="H649" s="2" t="s">
        <v>18</v>
      </c>
      <c r="I649" s="2">
        <f t="shared" si="20"/>
        <v>534.05999999999995</v>
      </c>
      <c r="J649" s="2">
        <f t="shared" si="21"/>
        <v>1.8029167510633985</v>
      </c>
    </row>
    <row r="650" spans="1:10" x14ac:dyDescent="0.3">
      <c r="A650" s="1">
        <v>45331</v>
      </c>
      <c r="B650">
        <v>905.12</v>
      </c>
      <c r="C650">
        <v>44.33</v>
      </c>
      <c r="D650">
        <v>8</v>
      </c>
      <c r="E650" s="2" t="s">
        <v>8</v>
      </c>
      <c r="F650" s="2" t="s">
        <v>17</v>
      </c>
      <c r="G650" s="2" t="s">
        <v>14</v>
      </c>
      <c r="H650" s="2" t="s">
        <v>15</v>
      </c>
      <c r="I650" s="2">
        <f t="shared" si="20"/>
        <v>860.79</v>
      </c>
      <c r="J650" s="2">
        <f t="shared" si="21"/>
        <v>19.417775772614483</v>
      </c>
    </row>
    <row r="651" spans="1:10" x14ac:dyDescent="0.3">
      <c r="A651" s="1">
        <v>45341</v>
      </c>
      <c r="B651">
        <v>916.27</v>
      </c>
      <c r="C651">
        <v>176.03</v>
      </c>
      <c r="D651">
        <v>10</v>
      </c>
      <c r="E651" s="2" t="s">
        <v>13</v>
      </c>
      <c r="F651" s="2" t="s">
        <v>9</v>
      </c>
      <c r="G651" s="2" t="s">
        <v>19</v>
      </c>
      <c r="H651" s="2" t="s">
        <v>15</v>
      </c>
      <c r="I651" s="2">
        <f t="shared" si="20"/>
        <v>740.24</v>
      </c>
      <c r="J651" s="2">
        <f t="shared" si="21"/>
        <v>4.2051922967675965</v>
      </c>
    </row>
    <row r="652" spans="1:10" x14ac:dyDescent="0.3">
      <c r="A652" s="1">
        <v>45332</v>
      </c>
      <c r="B652">
        <v>1292.08</v>
      </c>
      <c r="C652">
        <v>101</v>
      </c>
      <c r="D652">
        <v>3</v>
      </c>
      <c r="E652" s="2" t="s">
        <v>13</v>
      </c>
      <c r="F652" s="2" t="s">
        <v>9</v>
      </c>
      <c r="G652" s="2" t="s">
        <v>12</v>
      </c>
      <c r="H652" s="2" t="s">
        <v>15</v>
      </c>
      <c r="I652" s="2">
        <f t="shared" si="20"/>
        <v>1191.08</v>
      </c>
      <c r="J652" s="2">
        <f t="shared" si="21"/>
        <v>11.792871287128712</v>
      </c>
    </row>
    <row r="653" spans="1:10" x14ac:dyDescent="0.3">
      <c r="A653" s="1">
        <v>45407</v>
      </c>
      <c r="B653">
        <v>767.13</v>
      </c>
      <c r="C653">
        <v>302.95999999999998</v>
      </c>
      <c r="D653">
        <v>5</v>
      </c>
      <c r="E653" s="2" t="s">
        <v>8</v>
      </c>
      <c r="F653" s="2" t="s">
        <v>17</v>
      </c>
      <c r="G653" s="2" t="s">
        <v>19</v>
      </c>
      <c r="H653" s="2" t="s">
        <v>18</v>
      </c>
      <c r="I653" s="2">
        <f t="shared" si="20"/>
        <v>464.17</v>
      </c>
      <c r="J653" s="2">
        <f t="shared" si="21"/>
        <v>1.5321164510166361</v>
      </c>
    </row>
    <row r="654" spans="1:10" x14ac:dyDescent="0.3">
      <c r="A654" s="1">
        <v>45298</v>
      </c>
      <c r="B654">
        <v>1051.1300000000001</v>
      </c>
      <c r="C654">
        <v>394.85</v>
      </c>
      <c r="D654">
        <v>4</v>
      </c>
      <c r="E654" s="2" t="s">
        <v>13</v>
      </c>
      <c r="F654" s="2" t="s">
        <v>17</v>
      </c>
      <c r="G654" s="2" t="s">
        <v>14</v>
      </c>
      <c r="H654" s="2" t="s">
        <v>18</v>
      </c>
      <c r="I654" s="2">
        <f t="shared" si="20"/>
        <v>656.28000000000009</v>
      </c>
      <c r="J654" s="2">
        <f t="shared" si="21"/>
        <v>1.6620995314676461</v>
      </c>
    </row>
    <row r="655" spans="1:10" x14ac:dyDescent="0.3">
      <c r="A655" s="1">
        <v>45316</v>
      </c>
      <c r="B655">
        <v>1369.77</v>
      </c>
      <c r="C655">
        <v>92.61</v>
      </c>
      <c r="D655">
        <v>10</v>
      </c>
      <c r="E655" s="2" t="s">
        <v>13</v>
      </c>
      <c r="F655" s="2" t="s">
        <v>9</v>
      </c>
      <c r="G655" s="2" t="s">
        <v>19</v>
      </c>
      <c r="H655" s="2" t="s">
        <v>18</v>
      </c>
      <c r="I655" s="2">
        <f t="shared" si="20"/>
        <v>1277.1600000000001</v>
      </c>
      <c r="J655" s="2">
        <f t="shared" si="21"/>
        <v>13.790735341755751</v>
      </c>
    </row>
    <row r="656" spans="1:10" x14ac:dyDescent="0.3">
      <c r="A656" s="1">
        <v>45348</v>
      </c>
      <c r="B656">
        <v>460.26</v>
      </c>
      <c r="C656">
        <v>12.33</v>
      </c>
      <c r="D656">
        <v>1</v>
      </c>
      <c r="E656" s="2" t="s">
        <v>8</v>
      </c>
      <c r="F656" s="2" t="s">
        <v>9</v>
      </c>
      <c r="G656" s="2" t="s">
        <v>19</v>
      </c>
      <c r="H656" s="2" t="s">
        <v>15</v>
      </c>
      <c r="I656" s="2">
        <f t="shared" si="20"/>
        <v>447.93</v>
      </c>
      <c r="J656" s="2">
        <f t="shared" si="21"/>
        <v>36.32846715328467</v>
      </c>
    </row>
    <row r="657" spans="1:10" x14ac:dyDescent="0.3">
      <c r="A657" s="1">
        <v>45322</v>
      </c>
      <c r="B657">
        <v>1013.07</v>
      </c>
      <c r="C657">
        <v>483.81</v>
      </c>
      <c r="D657">
        <v>6</v>
      </c>
      <c r="E657" s="2" t="s">
        <v>8</v>
      </c>
      <c r="F657" s="2" t="s">
        <v>9</v>
      </c>
      <c r="G657" s="2" t="s">
        <v>12</v>
      </c>
      <c r="H657" s="2" t="s">
        <v>15</v>
      </c>
      <c r="I657" s="2">
        <f t="shared" si="20"/>
        <v>529.26</v>
      </c>
      <c r="J657" s="2">
        <f t="shared" si="21"/>
        <v>1.0939418366714206</v>
      </c>
    </row>
    <row r="658" spans="1:10" x14ac:dyDescent="0.3">
      <c r="A658" s="1">
        <v>45408</v>
      </c>
      <c r="B658">
        <v>1018.34</v>
      </c>
      <c r="C658">
        <v>86.29</v>
      </c>
      <c r="D658">
        <v>7</v>
      </c>
      <c r="E658" s="2" t="s">
        <v>13</v>
      </c>
      <c r="F658" s="2" t="s">
        <v>9</v>
      </c>
      <c r="G658" s="2" t="s">
        <v>12</v>
      </c>
      <c r="H658" s="2" t="s">
        <v>15</v>
      </c>
      <c r="I658" s="2">
        <f t="shared" si="20"/>
        <v>932.05000000000007</v>
      </c>
      <c r="J658" s="2">
        <f t="shared" si="21"/>
        <v>10.801367481747596</v>
      </c>
    </row>
    <row r="659" spans="1:10" x14ac:dyDescent="0.3">
      <c r="A659" s="1">
        <v>45349</v>
      </c>
      <c r="B659">
        <v>288.17</v>
      </c>
      <c r="C659">
        <v>15.67</v>
      </c>
      <c r="D659">
        <v>5</v>
      </c>
      <c r="E659" s="2" t="s">
        <v>16</v>
      </c>
      <c r="F659" s="2" t="s">
        <v>17</v>
      </c>
      <c r="G659" s="2" t="s">
        <v>19</v>
      </c>
      <c r="H659" s="2" t="s">
        <v>15</v>
      </c>
      <c r="I659" s="2">
        <f t="shared" si="20"/>
        <v>272.5</v>
      </c>
      <c r="J659" s="2">
        <f t="shared" si="21"/>
        <v>17.389917038927887</v>
      </c>
    </row>
    <row r="660" spans="1:10" x14ac:dyDescent="0.3">
      <c r="A660" s="1">
        <v>45364</v>
      </c>
      <c r="B660">
        <v>1083.9000000000001</v>
      </c>
      <c r="C660">
        <v>85.36</v>
      </c>
      <c r="D660">
        <v>5</v>
      </c>
      <c r="E660" s="2" t="s">
        <v>16</v>
      </c>
      <c r="F660" s="2" t="s">
        <v>9</v>
      </c>
      <c r="G660" s="2" t="s">
        <v>12</v>
      </c>
      <c r="H660" s="2" t="s">
        <v>15</v>
      </c>
      <c r="I660" s="2">
        <f t="shared" si="20"/>
        <v>998.54000000000008</v>
      </c>
      <c r="J660" s="2">
        <f t="shared" si="21"/>
        <v>11.697985004686037</v>
      </c>
    </row>
    <row r="661" spans="1:10" x14ac:dyDescent="0.3">
      <c r="A661" s="1">
        <v>45367</v>
      </c>
      <c r="B661">
        <v>713.03</v>
      </c>
      <c r="C661">
        <v>398.7</v>
      </c>
      <c r="D661">
        <v>6</v>
      </c>
      <c r="E661" s="2" t="s">
        <v>13</v>
      </c>
      <c r="F661" s="2" t="s">
        <v>9</v>
      </c>
      <c r="G661" s="2" t="s">
        <v>14</v>
      </c>
      <c r="H661" s="2" t="s">
        <v>18</v>
      </c>
      <c r="I661" s="2">
        <f t="shared" si="20"/>
        <v>314.33</v>
      </c>
      <c r="J661" s="2">
        <f t="shared" si="21"/>
        <v>0.7883872585904188</v>
      </c>
    </row>
    <row r="662" spans="1:10" x14ac:dyDescent="0.3">
      <c r="A662" s="1">
        <v>45309</v>
      </c>
      <c r="B662">
        <v>1465.48</v>
      </c>
      <c r="C662">
        <v>495.66</v>
      </c>
      <c r="D662">
        <v>5</v>
      </c>
      <c r="E662" s="2" t="s">
        <v>16</v>
      </c>
      <c r="F662" s="2" t="s">
        <v>17</v>
      </c>
      <c r="G662" s="2" t="s">
        <v>14</v>
      </c>
      <c r="H662" s="2" t="s">
        <v>20</v>
      </c>
      <c r="I662" s="2">
        <f t="shared" si="20"/>
        <v>969.81999999999994</v>
      </c>
      <c r="J662" s="2">
        <f t="shared" si="21"/>
        <v>1.9566234919097767</v>
      </c>
    </row>
    <row r="663" spans="1:10" x14ac:dyDescent="0.3">
      <c r="A663" s="1">
        <v>45332</v>
      </c>
      <c r="B663">
        <v>1216.51</v>
      </c>
      <c r="C663">
        <v>490.96</v>
      </c>
      <c r="D663">
        <v>10</v>
      </c>
      <c r="E663" s="2" t="s">
        <v>13</v>
      </c>
      <c r="F663" s="2" t="s">
        <v>9</v>
      </c>
      <c r="G663" s="2" t="s">
        <v>12</v>
      </c>
      <c r="H663" s="2" t="s">
        <v>20</v>
      </c>
      <c r="I663" s="2">
        <f t="shared" si="20"/>
        <v>725.55</v>
      </c>
      <c r="J663" s="2">
        <f t="shared" si="21"/>
        <v>1.4778189669219488</v>
      </c>
    </row>
    <row r="664" spans="1:10" x14ac:dyDescent="0.3">
      <c r="A664" s="1">
        <v>45343</v>
      </c>
      <c r="B664">
        <v>982.81</v>
      </c>
      <c r="C664">
        <v>44.99</v>
      </c>
      <c r="D664">
        <v>7</v>
      </c>
      <c r="E664" s="2" t="s">
        <v>8</v>
      </c>
      <c r="F664" s="2" t="s">
        <v>17</v>
      </c>
      <c r="G664" s="2" t="s">
        <v>12</v>
      </c>
      <c r="H664" s="2" t="s">
        <v>11</v>
      </c>
      <c r="I664" s="2">
        <f t="shared" si="20"/>
        <v>937.81999999999994</v>
      </c>
      <c r="J664" s="2">
        <f t="shared" si="21"/>
        <v>20.845076683707489</v>
      </c>
    </row>
    <row r="665" spans="1:10" x14ac:dyDescent="0.3">
      <c r="A665" s="1">
        <v>45412</v>
      </c>
      <c r="B665">
        <v>1229.51</v>
      </c>
      <c r="C665">
        <v>371.42</v>
      </c>
      <c r="D665">
        <v>2</v>
      </c>
      <c r="E665" s="2" t="s">
        <v>16</v>
      </c>
      <c r="F665" s="2" t="s">
        <v>17</v>
      </c>
      <c r="G665" s="2" t="s">
        <v>10</v>
      </c>
      <c r="H665" s="2" t="s">
        <v>18</v>
      </c>
      <c r="I665" s="2">
        <f t="shared" si="20"/>
        <v>858.08999999999992</v>
      </c>
      <c r="J665" s="2">
        <f t="shared" si="21"/>
        <v>2.3102956222066662</v>
      </c>
    </row>
    <row r="666" spans="1:10" x14ac:dyDescent="0.3">
      <c r="A666" s="1">
        <v>45310</v>
      </c>
      <c r="B666">
        <v>753</v>
      </c>
      <c r="C666">
        <v>381.45</v>
      </c>
      <c r="D666">
        <v>9</v>
      </c>
      <c r="E666" s="2" t="s">
        <v>13</v>
      </c>
      <c r="F666" s="2" t="s">
        <v>9</v>
      </c>
      <c r="G666" s="2" t="s">
        <v>10</v>
      </c>
      <c r="H666" s="2" t="s">
        <v>20</v>
      </c>
      <c r="I666" s="2">
        <f t="shared" si="20"/>
        <v>371.55</v>
      </c>
      <c r="J666" s="2">
        <f t="shared" si="21"/>
        <v>0.97404640188753444</v>
      </c>
    </row>
    <row r="667" spans="1:10" x14ac:dyDescent="0.3">
      <c r="A667" s="1">
        <v>45321</v>
      </c>
      <c r="B667">
        <v>1043.96</v>
      </c>
      <c r="C667">
        <v>386.95</v>
      </c>
      <c r="D667">
        <v>10</v>
      </c>
      <c r="E667" s="2" t="s">
        <v>8</v>
      </c>
      <c r="F667" s="2" t="s">
        <v>17</v>
      </c>
      <c r="G667" s="2" t="s">
        <v>10</v>
      </c>
      <c r="H667" s="2" t="s">
        <v>11</v>
      </c>
      <c r="I667" s="2">
        <f t="shared" si="20"/>
        <v>657.01</v>
      </c>
      <c r="J667" s="2">
        <f t="shared" si="21"/>
        <v>1.6979196278588966</v>
      </c>
    </row>
    <row r="668" spans="1:10" x14ac:dyDescent="0.3">
      <c r="A668" s="1">
        <v>45298</v>
      </c>
      <c r="B668">
        <v>1269.33</v>
      </c>
      <c r="C668">
        <v>169.56</v>
      </c>
      <c r="D668">
        <v>0</v>
      </c>
      <c r="E668" s="2" t="s">
        <v>16</v>
      </c>
      <c r="F668" s="2" t="s">
        <v>17</v>
      </c>
      <c r="G668" s="2" t="s">
        <v>19</v>
      </c>
      <c r="H668" s="2" t="s">
        <v>15</v>
      </c>
      <c r="I668" s="2">
        <f t="shared" si="20"/>
        <v>1099.77</v>
      </c>
      <c r="J668" s="2">
        <f t="shared" si="21"/>
        <v>6.4860226468506719</v>
      </c>
    </row>
    <row r="669" spans="1:10" x14ac:dyDescent="0.3">
      <c r="A669" s="1">
        <v>45334</v>
      </c>
      <c r="B669">
        <v>731.32</v>
      </c>
      <c r="C669">
        <v>183.52</v>
      </c>
      <c r="D669">
        <v>6</v>
      </c>
      <c r="E669" s="2" t="s">
        <v>16</v>
      </c>
      <c r="F669" s="2" t="s">
        <v>17</v>
      </c>
      <c r="G669" s="2" t="s">
        <v>19</v>
      </c>
      <c r="H669" s="2" t="s">
        <v>15</v>
      </c>
      <c r="I669" s="2">
        <f t="shared" si="20"/>
        <v>547.80000000000007</v>
      </c>
      <c r="J669" s="2">
        <f t="shared" si="21"/>
        <v>2.9849607672188321</v>
      </c>
    </row>
    <row r="670" spans="1:10" x14ac:dyDescent="0.3">
      <c r="A670" s="1">
        <v>45367</v>
      </c>
      <c r="B670">
        <v>1299.5899999999999</v>
      </c>
      <c r="C670">
        <v>260.95</v>
      </c>
      <c r="D670">
        <v>9</v>
      </c>
      <c r="E670" s="2" t="s">
        <v>16</v>
      </c>
      <c r="F670" s="2" t="s">
        <v>17</v>
      </c>
      <c r="G670" s="2" t="s">
        <v>14</v>
      </c>
      <c r="H670" s="2" t="s">
        <v>15</v>
      </c>
      <c r="I670" s="2">
        <f t="shared" si="20"/>
        <v>1038.6399999999999</v>
      </c>
      <c r="J670" s="2">
        <f t="shared" si="21"/>
        <v>3.9802260969534391</v>
      </c>
    </row>
    <row r="671" spans="1:10" x14ac:dyDescent="0.3">
      <c r="A671" s="1">
        <v>45395</v>
      </c>
      <c r="B671">
        <v>1119.49</v>
      </c>
      <c r="C671">
        <v>164.28</v>
      </c>
      <c r="D671">
        <v>3</v>
      </c>
      <c r="E671" s="2" t="s">
        <v>16</v>
      </c>
      <c r="F671" s="2" t="s">
        <v>17</v>
      </c>
      <c r="G671" s="2" t="s">
        <v>12</v>
      </c>
      <c r="H671" s="2" t="s">
        <v>15</v>
      </c>
      <c r="I671" s="2">
        <f t="shared" si="20"/>
        <v>955.21</v>
      </c>
      <c r="J671" s="2">
        <f t="shared" si="21"/>
        <v>5.8145239834429026</v>
      </c>
    </row>
    <row r="672" spans="1:10" x14ac:dyDescent="0.3">
      <c r="A672" s="1">
        <v>45400</v>
      </c>
      <c r="B672">
        <v>1136.8699999999999</v>
      </c>
      <c r="C672">
        <v>263.56</v>
      </c>
      <c r="D672">
        <v>8</v>
      </c>
      <c r="E672" s="2" t="s">
        <v>16</v>
      </c>
      <c r="F672" s="2" t="s">
        <v>17</v>
      </c>
      <c r="G672" s="2" t="s">
        <v>12</v>
      </c>
      <c r="H672" s="2" t="s">
        <v>11</v>
      </c>
      <c r="I672" s="2">
        <f t="shared" si="20"/>
        <v>873.31</v>
      </c>
      <c r="J672" s="2">
        <f t="shared" si="21"/>
        <v>3.3135149491576867</v>
      </c>
    </row>
    <row r="673" spans="1:10" x14ac:dyDescent="0.3">
      <c r="A673" s="1">
        <v>45390</v>
      </c>
      <c r="B673">
        <v>131.05000000000001</v>
      </c>
      <c r="C673">
        <v>229.29</v>
      </c>
      <c r="D673">
        <v>0</v>
      </c>
      <c r="E673" s="2" t="s">
        <v>8</v>
      </c>
      <c r="F673" s="2" t="s">
        <v>9</v>
      </c>
      <c r="G673" s="2" t="s">
        <v>19</v>
      </c>
      <c r="H673" s="2" t="s">
        <v>20</v>
      </c>
      <c r="I673" s="2">
        <f t="shared" si="20"/>
        <v>-98.239999999999981</v>
      </c>
      <c r="J673" s="2">
        <f t="shared" si="21"/>
        <v>-0.42845305072179329</v>
      </c>
    </row>
    <row r="674" spans="1:10" x14ac:dyDescent="0.3">
      <c r="A674" s="1">
        <v>45365</v>
      </c>
      <c r="B674">
        <v>791.83</v>
      </c>
      <c r="C674">
        <v>68.25</v>
      </c>
      <c r="D674">
        <v>1</v>
      </c>
      <c r="E674" s="2" t="s">
        <v>8</v>
      </c>
      <c r="F674" s="2" t="s">
        <v>17</v>
      </c>
      <c r="G674" s="2" t="s">
        <v>14</v>
      </c>
      <c r="H674" s="2" t="s">
        <v>11</v>
      </c>
      <c r="I674" s="2">
        <f t="shared" si="20"/>
        <v>723.58</v>
      </c>
      <c r="J674" s="2">
        <f t="shared" si="21"/>
        <v>10.601904761904763</v>
      </c>
    </row>
    <row r="675" spans="1:10" x14ac:dyDescent="0.3">
      <c r="A675" s="1">
        <v>45331</v>
      </c>
      <c r="B675">
        <v>900.11</v>
      </c>
      <c r="C675">
        <v>210.22</v>
      </c>
      <c r="D675">
        <v>9</v>
      </c>
      <c r="E675" s="2" t="s">
        <v>13</v>
      </c>
      <c r="F675" s="2" t="s">
        <v>17</v>
      </c>
      <c r="G675" s="2" t="s">
        <v>10</v>
      </c>
      <c r="H675" s="2" t="s">
        <v>15</v>
      </c>
      <c r="I675" s="2">
        <f t="shared" si="20"/>
        <v>689.89</v>
      </c>
      <c r="J675" s="2">
        <f t="shared" si="21"/>
        <v>3.2817524498144799</v>
      </c>
    </row>
    <row r="676" spans="1:10" x14ac:dyDescent="0.3">
      <c r="A676" s="1">
        <v>45309</v>
      </c>
      <c r="B676">
        <v>992</v>
      </c>
      <c r="C676">
        <v>158.66</v>
      </c>
      <c r="D676">
        <v>8</v>
      </c>
      <c r="E676" s="2" t="s">
        <v>16</v>
      </c>
      <c r="F676" s="2" t="s">
        <v>17</v>
      </c>
      <c r="G676" s="2" t="s">
        <v>12</v>
      </c>
      <c r="H676" s="2" t="s">
        <v>11</v>
      </c>
      <c r="I676" s="2">
        <f t="shared" si="20"/>
        <v>833.34</v>
      </c>
      <c r="J676" s="2">
        <f t="shared" si="21"/>
        <v>5.2523635446867516</v>
      </c>
    </row>
    <row r="677" spans="1:10" x14ac:dyDescent="0.3">
      <c r="A677" s="1">
        <v>45303</v>
      </c>
      <c r="B677">
        <v>776.95</v>
      </c>
      <c r="C677">
        <v>279.10000000000002</v>
      </c>
      <c r="D677">
        <v>3</v>
      </c>
      <c r="E677" s="2" t="s">
        <v>8</v>
      </c>
      <c r="F677" s="2" t="s">
        <v>17</v>
      </c>
      <c r="G677" s="2" t="s">
        <v>10</v>
      </c>
      <c r="H677" s="2" t="s">
        <v>20</v>
      </c>
      <c r="I677" s="2">
        <f t="shared" si="20"/>
        <v>497.85</v>
      </c>
      <c r="J677" s="2">
        <f t="shared" si="21"/>
        <v>1.7837692583303475</v>
      </c>
    </row>
    <row r="678" spans="1:10" x14ac:dyDescent="0.3">
      <c r="A678" s="1">
        <v>45356</v>
      </c>
      <c r="B678">
        <v>1042.4000000000001</v>
      </c>
      <c r="C678">
        <v>453.45</v>
      </c>
      <c r="D678">
        <v>4</v>
      </c>
      <c r="E678" s="2" t="s">
        <v>16</v>
      </c>
      <c r="F678" s="2" t="s">
        <v>9</v>
      </c>
      <c r="G678" s="2" t="s">
        <v>14</v>
      </c>
      <c r="H678" s="2" t="s">
        <v>11</v>
      </c>
      <c r="I678" s="2">
        <f t="shared" si="20"/>
        <v>588.95000000000005</v>
      </c>
      <c r="J678" s="2">
        <f t="shared" si="21"/>
        <v>1.2988201565773516</v>
      </c>
    </row>
    <row r="679" spans="1:10" x14ac:dyDescent="0.3">
      <c r="A679" s="1">
        <v>45410</v>
      </c>
      <c r="B679">
        <v>97.74</v>
      </c>
      <c r="C679">
        <v>78.13</v>
      </c>
      <c r="D679">
        <v>5</v>
      </c>
      <c r="E679" s="2" t="s">
        <v>16</v>
      </c>
      <c r="F679" s="2" t="s">
        <v>9</v>
      </c>
      <c r="G679" s="2" t="s">
        <v>10</v>
      </c>
      <c r="H679" s="2" t="s">
        <v>15</v>
      </c>
      <c r="I679" s="2">
        <f t="shared" si="20"/>
        <v>19.61</v>
      </c>
      <c r="J679" s="2">
        <f t="shared" si="21"/>
        <v>0.250991936516063</v>
      </c>
    </row>
    <row r="680" spans="1:10" x14ac:dyDescent="0.3">
      <c r="A680" s="1">
        <v>45338</v>
      </c>
      <c r="B680">
        <v>308.10000000000002</v>
      </c>
      <c r="C680">
        <v>306.82</v>
      </c>
      <c r="D680">
        <v>6</v>
      </c>
      <c r="E680" s="2" t="s">
        <v>8</v>
      </c>
      <c r="F680" s="2" t="s">
        <v>9</v>
      </c>
      <c r="G680" s="2" t="s">
        <v>10</v>
      </c>
      <c r="H680" s="2" t="s">
        <v>11</v>
      </c>
      <c r="I680" s="2">
        <f t="shared" si="20"/>
        <v>1.2800000000000296</v>
      </c>
      <c r="J680" s="2">
        <f t="shared" si="21"/>
        <v>4.1718271299134007E-3</v>
      </c>
    </row>
    <row r="681" spans="1:10" x14ac:dyDescent="0.3">
      <c r="A681" s="1">
        <v>45326</v>
      </c>
      <c r="B681">
        <v>727.45</v>
      </c>
      <c r="C681">
        <v>280.3</v>
      </c>
      <c r="D681">
        <v>4</v>
      </c>
      <c r="E681" s="2" t="s">
        <v>13</v>
      </c>
      <c r="F681" s="2" t="s">
        <v>9</v>
      </c>
      <c r="G681" s="2" t="s">
        <v>12</v>
      </c>
      <c r="H681" s="2" t="s">
        <v>20</v>
      </c>
      <c r="I681" s="2">
        <f t="shared" si="20"/>
        <v>447.15000000000003</v>
      </c>
      <c r="J681" s="2">
        <f t="shared" si="21"/>
        <v>1.5952550838387443</v>
      </c>
    </row>
    <row r="682" spans="1:10" x14ac:dyDescent="0.3">
      <c r="A682" s="1">
        <v>45298</v>
      </c>
      <c r="B682">
        <v>1006.17</v>
      </c>
      <c r="C682">
        <v>101.48</v>
      </c>
      <c r="D682">
        <v>9</v>
      </c>
      <c r="E682" s="2" t="s">
        <v>8</v>
      </c>
      <c r="F682" s="2" t="s">
        <v>17</v>
      </c>
      <c r="G682" s="2" t="s">
        <v>10</v>
      </c>
      <c r="H682" s="2" t="s">
        <v>15</v>
      </c>
      <c r="I682" s="2">
        <f t="shared" si="20"/>
        <v>904.68999999999994</v>
      </c>
      <c r="J682" s="2">
        <f t="shared" si="21"/>
        <v>8.9149586125344893</v>
      </c>
    </row>
    <row r="683" spans="1:10" x14ac:dyDescent="0.3">
      <c r="A683" s="1">
        <v>45324</v>
      </c>
      <c r="B683">
        <v>68.56</v>
      </c>
      <c r="C683">
        <v>484.84</v>
      </c>
      <c r="D683">
        <v>6</v>
      </c>
      <c r="E683" s="2" t="s">
        <v>8</v>
      </c>
      <c r="F683" s="2" t="s">
        <v>9</v>
      </c>
      <c r="G683" s="2" t="s">
        <v>19</v>
      </c>
      <c r="H683" s="2" t="s">
        <v>15</v>
      </c>
      <c r="I683" s="2">
        <f t="shared" si="20"/>
        <v>-416.28</v>
      </c>
      <c r="J683" s="2">
        <f t="shared" si="21"/>
        <v>-0.85859252536919395</v>
      </c>
    </row>
    <row r="684" spans="1:10" x14ac:dyDescent="0.3">
      <c r="A684" s="1">
        <v>45390</v>
      </c>
      <c r="B684">
        <v>1168.9100000000001</v>
      </c>
      <c r="C684">
        <v>137.72999999999999</v>
      </c>
      <c r="D684">
        <v>8</v>
      </c>
      <c r="E684" s="2" t="s">
        <v>16</v>
      </c>
      <c r="F684" s="2" t="s">
        <v>9</v>
      </c>
      <c r="G684" s="2" t="s">
        <v>14</v>
      </c>
      <c r="H684" s="2" t="s">
        <v>18</v>
      </c>
      <c r="I684" s="2">
        <f t="shared" si="20"/>
        <v>1031.18</v>
      </c>
      <c r="J684" s="2">
        <f t="shared" si="21"/>
        <v>7.486967254773834</v>
      </c>
    </row>
    <row r="685" spans="1:10" x14ac:dyDescent="0.3">
      <c r="A685" s="1">
        <v>45297</v>
      </c>
      <c r="B685">
        <v>552.55999999999995</v>
      </c>
      <c r="C685">
        <v>168.83</v>
      </c>
      <c r="D685">
        <v>7</v>
      </c>
      <c r="E685" s="2" t="s">
        <v>8</v>
      </c>
      <c r="F685" s="2" t="s">
        <v>9</v>
      </c>
      <c r="G685" s="2" t="s">
        <v>12</v>
      </c>
      <c r="H685" s="2" t="s">
        <v>15</v>
      </c>
      <c r="I685" s="2">
        <f t="shared" si="20"/>
        <v>383.7299999999999</v>
      </c>
      <c r="J685" s="2">
        <f t="shared" si="21"/>
        <v>2.2728780430018354</v>
      </c>
    </row>
    <row r="686" spans="1:10" x14ac:dyDescent="0.3">
      <c r="A686" s="1">
        <v>45384</v>
      </c>
      <c r="B686">
        <v>939.66</v>
      </c>
      <c r="C686">
        <v>449.94</v>
      </c>
      <c r="D686">
        <v>9</v>
      </c>
      <c r="E686" s="2" t="s">
        <v>8</v>
      </c>
      <c r="F686" s="2" t="s">
        <v>9</v>
      </c>
      <c r="G686" s="2" t="s">
        <v>14</v>
      </c>
      <c r="H686" s="2" t="s">
        <v>20</v>
      </c>
      <c r="I686" s="2">
        <f t="shared" si="20"/>
        <v>489.71999999999997</v>
      </c>
      <c r="J686" s="2">
        <f t="shared" si="21"/>
        <v>1.0884117882384317</v>
      </c>
    </row>
    <row r="687" spans="1:10" x14ac:dyDescent="0.3">
      <c r="A687" s="1">
        <v>45411</v>
      </c>
      <c r="B687">
        <v>562.4</v>
      </c>
      <c r="C687">
        <v>330.22</v>
      </c>
      <c r="D687">
        <v>8</v>
      </c>
      <c r="E687" s="2" t="s">
        <v>8</v>
      </c>
      <c r="F687" s="2" t="s">
        <v>17</v>
      </c>
      <c r="G687" s="2" t="s">
        <v>12</v>
      </c>
      <c r="H687" s="2" t="s">
        <v>11</v>
      </c>
      <c r="I687" s="2">
        <f t="shared" si="20"/>
        <v>232.17999999999995</v>
      </c>
      <c r="J687" s="2">
        <f t="shared" si="21"/>
        <v>0.7031070195627156</v>
      </c>
    </row>
    <row r="688" spans="1:10" x14ac:dyDescent="0.3">
      <c r="A688" s="1">
        <v>45395</v>
      </c>
      <c r="B688">
        <v>1126.2</v>
      </c>
      <c r="C688">
        <v>479.55</v>
      </c>
      <c r="D688">
        <v>4</v>
      </c>
      <c r="E688" s="2" t="s">
        <v>16</v>
      </c>
      <c r="F688" s="2" t="s">
        <v>9</v>
      </c>
      <c r="G688" s="2" t="s">
        <v>19</v>
      </c>
      <c r="H688" s="2" t="s">
        <v>11</v>
      </c>
      <c r="I688" s="2">
        <f t="shared" si="20"/>
        <v>646.65000000000009</v>
      </c>
      <c r="J688" s="2">
        <f t="shared" si="21"/>
        <v>1.3484516734438539</v>
      </c>
    </row>
    <row r="689" spans="1:10" x14ac:dyDescent="0.3">
      <c r="A689" s="1">
        <v>45406</v>
      </c>
      <c r="B689">
        <v>1002.36</v>
      </c>
      <c r="C689">
        <v>485.95</v>
      </c>
      <c r="D689">
        <v>6</v>
      </c>
      <c r="E689" s="2" t="s">
        <v>16</v>
      </c>
      <c r="F689" s="2" t="s">
        <v>17</v>
      </c>
      <c r="G689" s="2" t="s">
        <v>19</v>
      </c>
      <c r="H689" s="2" t="s">
        <v>20</v>
      </c>
      <c r="I689" s="2">
        <f t="shared" si="20"/>
        <v>516.41000000000008</v>
      </c>
      <c r="J689" s="2">
        <f t="shared" si="21"/>
        <v>1.0626813458174711</v>
      </c>
    </row>
    <row r="690" spans="1:10" x14ac:dyDescent="0.3">
      <c r="A690" s="1">
        <v>45327</v>
      </c>
      <c r="B690">
        <v>266.91000000000003</v>
      </c>
      <c r="C690">
        <v>67.31</v>
      </c>
      <c r="D690">
        <v>1</v>
      </c>
      <c r="E690" s="2" t="s">
        <v>8</v>
      </c>
      <c r="F690" s="2" t="s">
        <v>17</v>
      </c>
      <c r="G690" s="2" t="s">
        <v>14</v>
      </c>
      <c r="H690" s="2" t="s">
        <v>11</v>
      </c>
      <c r="I690" s="2">
        <f t="shared" si="20"/>
        <v>199.60000000000002</v>
      </c>
      <c r="J690" s="2">
        <f t="shared" si="21"/>
        <v>2.9653840439756354</v>
      </c>
    </row>
    <row r="691" spans="1:10" x14ac:dyDescent="0.3">
      <c r="A691" s="1">
        <v>45316</v>
      </c>
      <c r="B691">
        <v>314.66000000000003</v>
      </c>
      <c r="C691">
        <v>385.88</v>
      </c>
      <c r="D691">
        <v>9</v>
      </c>
      <c r="E691" s="2" t="s">
        <v>13</v>
      </c>
      <c r="F691" s="2" t="s">
        <v>17</v>
      </c>
      <c r="G691" s="2" t="s">
        <v>10</v>
      </c>
      <c r="H691" s="2" t="s">
        <v>15</v>
      </c>
      <c r="I691" s="2">
        <f t="shared" si="20"/>
        <v>-71.21999999999997</v>
      </c>
      <c r="J691" s="2">
        <f t="shared" si="21"/>
        <v>-0.18456514978749863</v>
      </c>
    </row>
    <row r="692" spans="1:10" x14ac:dyDescent="0.3">
      <c r="A692" s="1">
        <v>45327</v>
      </c>
      <c r="B692">
        <v>672.01</v>
      </c>
      <c r="C692">
        <v>349.18</v>
      </c>
      <c r="D692">
        <v>6</v>
      </c>
      <c r="E692" s="2" t="s">
        <v>13</v>
      </c>
      <c r="F692" s="2" t="s">
        <v>9</v>
      </c>
      <c r="G692" s="2" t="s">
        <v>12</v>
      </c>
      <c r="H692" s="2" t="s">
        <v>15</v>
      </c>
      <c r="I692" s="2">
        <f t="shared" si="20"/>
        <v>322.83</v>
      </c>
      <c r="J692" s="2">
        <f t="shared" si="21"/>
        <v>0.92453748782862699</v>
      </c>
    </row>
    <row r="693" spans="1:10" x14ac:dyDescent="0.3">
      <c r="A693" s="1">
        <v>45340</v>
      </c>
      <c r="B693">
        <v>390.46</v>
      </c>
      <c r="C693">
        <v>149.22</v>
      </c>
      <c r="D693">
        <v>10</v>
      </c>
      <c r="E693" s="2" t="s">
        <v>16</v>
      </c>
      <c r="F693" s="2" t="s">
        <v>17</v>
      </c>
      <c r="G693" s="2" t="s">
        <v>10</v>
      </c>
      <c r="H693" s="2" t="s">
        <v>11</v>
      </c>
      <c r="I693" s="2">
        <f t="shared" si="20"/>
        <v>241.23999999999998</v>
      </c>
      <c r="J693" s="2">
        <f t="shared" si="21"/>
        <v>1.6166733681812089</v>
      </c>
    </row>
    <row r="694" spans="1:10" x14ac:dyDescent="0.3">
      <c r="A694" s="1">
        <v>45345</v>
      </c>
      <c r="B694">
        <v>337.32</v>
      </c>
      <c r="C694">
        <v>91.02</v>
      </c>
      <c r="D694">
        <v>1</v>
      </c>
      <c r="E694" s="2" t="s">
        <v>8</v>
      </c>
      <c r="F694" s="2" t="s">
        <v>17</v>
      </c>
      <c r="G694" s="2" t="s">
        <v>10</v>
      </c>
      <c r="H694" s="2" t="s">
        <v>18</v>
      </c>
      <c r="I694" s="2">
        <f t="shared" si="20"/>
        <v>246.3</v>
      </c>
      <c r="J694" s="2">
        <f t="shared" si="21"/>
        <v>2.7059986816084378</v>
      </c>
    </row>
    <row r="695" spans="1:10" x14ac:dyDescent="0.3">
      <c r="A695" s="1">
        <v>45370</v>
      </c>
      <c r="B695">
        <v>1010.75</v>
      </c>
      <c r="C695">
        <v>479.06</v>
      </c>
      <c r="D695">
        <v>10</v>
      </c>
      <c r="E695" s="2" t="s">
        <v>16</v>
      </c>
      <c r="F695" s="2" t="s">
        <v>17</v>
      </c>
      <c r="G695" s="2" t="s">
        <v>10</v>
      </c>
      <c r="H695" s="2" t="s">
        <v>18</v>
      </c>
      <c r="I695" s="2">
        <f t="shared" si="20"/>
        <v>531.69000000000005</v>
      </c>
      <c r="J695" s="2">
        <f t="shared" si="21"/>
        <v>1.1098609777480901</v>
      </c>
    </row>
    <row r="696" spans="1:10" x14ac:dyDescent="0.3">
      <c r="A696" s="1">
        <v>45401</v>
      </c>
      <c r="B696">
        <v>505.83</v>
      </c>
      <c r="C696">
        <v>234.09</v>
      </c>
      <c r="D696">
        <v>4</v>
      </c>
      <c r="E696" s="2" t="s">
        <v>13</v>
      </c>
      <c r="F696" s="2" t="s">
        <v>17</v>
      </c>
      <c r="G696" s="2" t="s">
        <v>19</v>
      </c>
      <c r="H696" s="2" t="s">
        <v>11</v>
      </c>
      <c r="I696" s="2">
        <f t="shared" si="20"/>
        <v>271.74</v>
      </c>
      <c r="J696" s="2">
        <f t="shared" si="21"/>
        <v>1.1608355760604896</v>
      </c>
    </row>
    <row r="697" spans="1:10" x14ac:dyDescent="0.3">
      <c r="A697" s="1">
        <v>45405</v>
      </c>
      <c r="B697">
        <v>1329.98</v>
      </c>
      <c r="C697">
        <v>304.54000000000002</v>
      </c>
      <c r="D697">
        <v>9</v>
      </c>
      <c r="E697" s="2" t="s">
        <v>16</v>
      </c>
      <c r="F697" s="2" t="s">
        <v>9</v>
      </c>
      <c r="G697" s="2" t="s">
        <v>19</v>
      </c>
      <c r="H697" s="2" t="s">
        <v>20</v>
      </c>
      <c r="I697" s="2">
        <f t="shared" si="20"/>
        <v>1025.44</v>
      </c>
      <c r="J697" s="2">
        <f t="shared" si="21"/>
        <v>3.3671767255532936</v>
      </c>
    </row>
    <row r="698" spans="1:10" x14ac:dyDescent="0.3">
      <c r="A698" s="1">
        <v>45322</v>
      </c>
      <c r="B698">
        <v>520.34</v>
      </c>
      <c r="C698">
        <v>134.13999999999999</v>
      </c>
      <c r="D698">
        <v>3</v>
      </c>
      <c r="E698" s="2" t="s">
        <v>13</v>
      </c>
      <c r="F698" s="2" t="s">
        <v>17</v>
      </c>
      <c r="G698" s="2" t="s">
        <v>19</v>
      </c>
      <c r="H698" s="2" t="s">
        <v>18</v>
      </c>
      <c r="I698" s="2">
        <f t="shared" si="20"/>
        <v>386.20000000000005</v>
      </c>
      <c r="J698" s="2">
        <f t="shared" si="21"/>
        <v>2.8790815565826753</v>
      </c>
    </row>
    <row r="699" spans="1:10" x14ac:dyDescent="0.3">
      <c r="A699" s="1">
        <v>45327</v>
      </c>
      <c r="B699">
        <v>692.65</v>
      </c>
      <c r="C699">
        <v>328.37</v>
      </c>
      <c r="D699">
        <v>6</v>
      </c>
      <c r="E699" s="2" t="s">
        <v>8</v>
      </c>
      <c r="F699" s="2" t="s">
        <v>17</v>
      </c>
      <c r="G699" s="2" t="s">
        <v>10</v>
      </c>
      <c r="H699" s="2" t="s">
        <v>11</v>
      </c>
      <c r="I699" s="2">
        <f t="shared" si="20"/>
        <v>364.28</v>
      </c>
      <c r="J699" s="2">
        <f t="shared" si="21"/>
        <v>1.1093583457684928</v>
      </c>
    </row>
    <row r="700" spans="1:10" x14ac:dyDescent="0.3">
      <c r="A700" s="1">
        <v>45297</v>
      </c>
      <c r="B700">
        <v>290.29000000000002</v>
      </c>
      <c r="C700">
        <v>142.12</v>
      </c>
      <c r="D700">
        <v>3</v>
      </c>
      <c r="E700" s="2" t="s">
        <v>16</v>
      </c>
      <c r="F700" s="2" t="s">
        <v>17</v>
      </c>
      <c r="G700" s="2" t="s">
        <v>14</v>
      </c>
      <c r="H700" s="2" t="s">
        <v>18</v>
      </c>
      <c r="I700" s="2">
        <f t="shared" si="20"/>
        <v>148.17000000000002</v>
      </c>
      <c r="J700" s="2">
        <f t="shared" si="21"/>
        <v>1.0425696594427245</v>
      </c>
    </row>
    <row r="701" spans="1:10" x14ac:dyDescent="0.3">
      <c r="A701" s="1">
        <v>45351</v>
      </c>
      <c r="B701">
        <v>160.41999999999999</v>
      </c>
      <c r="C701">
        <v>137.09</v>
      </c>
      <c r="D701">
        <v>5</v>
      </c>
      <c r="E701" s="2" t="s">
        <v>8</v>
      </c>
      <c r="F701" s="2" t="s">
        <v>17</v>
      </c>
      <c r="G701" s="2" t="s">
        <v>10</v>
      </c>
      <c r="H701" s="2" t="s">
        <v>11</v>
      </c>
      <c r="I701" s="2">
        <f t="shared" si="20"/>
        <v>23.329999999999984</v>
      </c>
      <c r="J701" s="2">
        <f t="shared" si="21"/>
        <v>0.17018017360857818</v>
      </c>
    </row>
    <row r="702" spans="1:10" x14ac:dyDescent="0.3">
      <c r="A702" s="1">
        <v>45330</v>
      </c>
      <c r="B702">
        <v>1208.81</v>
      </c>
      <c r="C702">
        <v>221.38</v>
      </c>
      <c r="D702">
        <v>1</v>
      </c>
      <c r="E702" s="2" t="s">
        <v>16</v>
      </c>
      <c r="F702" s="2" t="s">
        <v>17</v>
      </c>
      <c r="G702" s="2" t="s">
        <v>10</v>
      </c>
      <c r="H702" s="2" t="s">
        <v>15</v>
      </c>
      <c r="I702" s="2">
        <f t="shared" si="20"/>
        <v>987.43</v>
      </c>
      <c r="J702" s="2">
        <f t="shared" si="21"/>
        <v>4.4603396874153036</v>
      </c>
    </row>
    <row r="703" spans="1:10" x14ac:dyDescent="0.3">
      <c r="A703" s="1">
        <v>45337</v>
      </c>
      <c r="B703">
        <v>1209.97</v>
      </c>
      <c r="C703">
        <v>487.21</v>
      </c>
      <c r="D703">
        <v>9</v>
      </c>
      <c r="E703" s="2" t="s">
        <v>13</v>
      </c>
      <c r="F703" s="2" t="s">
        <v>17</v>
      </c>
      <c r="G703" s="2" t="s">
        <v>14</v>
      </c>
      <c r="H703" s="2" t="s">
        <v>15</v>
      </c>
      <c r="I703" s="2">
        <f t="shared" si="20"/>
        <v>722.76</v>
      </c>
      <c r="J703" s="2">
        <f t="shared" si="21"/>
        <v>1.4834670881139551</v>
      </c>
    </row>
    <row r="704" spans="1:10" x14ac:dyDescent="0.3">
      <c r="A704" s="1">
        <v>45358</v>
      </c>
      <c r="B704">
        <v>959.59</v>
      </c>
      <c r="C704">
        <v>429.75</v>
      </c>
      <c r="D704">
        <v>7</v>
      </c>
      <c r="E704" s="2" t="s">
        <v>8</v>
      </c>
      <c r="F704" s="2" t="s">
        <v>9</v>
      </c>
      <c r="G704" s="2" t="s">
        <v>10</v>
      </c>
      <c r="H704" s="2" t="s">
        <v>20</v>
      </c>
      <c r="I704" s="2">
        <f t="shared" si="20"/>
        <v>529.84</v>
      </c>
      <c r="J704" s="2">
        <f t="shared" si="21"/>
        <v>1.2329028504944737</v>
      </c>
    </row>
    <row r="705" spans="1:10" x14ac:dyDescent="0.3">
      <c r="A705" s="1">
        <v>45301</v>
      </c>
      <c r="B705">
        <v>1180.81</v>
      </c>
      <c r="C705">
        <v>248.03</v>
      </c>
      <c r="D705">
        <v>9</v>
      </c>
      <c r="E705" s="2" t="s">
        <v>13</v>
      </c>
      <c r="F705" s="2" t="s">
        <v>17</v>
      </c>
      <c r="G705" s="2" t="s">
        <v>12</v>
      </c>
      <c r="H705" s="2" t="s">
        <v>20</v>
      </c>
      <c r="I705" s="2">
        <f t="shared" si="20"/>
        <v>932.78</v>
      </c>
      <c r="J705" s="2">
        <f t="shared" si="21"/>
        <v>3.7607547474095875</v>
      </c>
    </row>
    <row r="706" spans="1:10" x14ac:dyDescent="0.3">
      <c r="A706" s="1">
        <v>45303</v>
      </c>
      <c r="B706">
        <v>369.94</v>
      </c>
      <c r="C706">
        <v>223.41</v>
      </c>
      <c r="D706">
        <v>10</v>
      </c>
      <c r="E706" s="2" t="s">
        <v>13</v>
      </c>
      <c r="F706" s="2" t="s">
        <v>9</v>
      </c>
      <c r="G706" s="2" t="s">
        <v>14</v>
      </c>
      <c r="H706" s="2" t="s">
        <v>20</v>
      </c>
      <c r="I706" s="2">
        <f t="shared" ref="I706:I769" si="22">B706-C706</f>
        <v>146.53</v>
      </c>
      <c r="J706" s="2">
        <f t="shared" ref="J706:J769" si="23">IF(C706=0,0,I706/C706)</f>
        <v>0.65587932500783319</v>
      </c>
    </row>
    <row r="707" spans="1:10" x14ac:dyDescent="0.3">
      <c r="A707" s="1">
        <v>45355</v>
      </c>
      <c r="B707">
        <v>511.47</v>
      </c>
      <c r="C707">
        <v>238.68</v>
      </c>
      <c r="D707">
        <v>0</v>
      </c>
      <c r="E707" s="2" t="s">
        <v>13</v>
      </c>
      <c r="F707" s="2" t="s">
        <v>17</v>
      </c>
      <c r="G707" s="2" t="s">
        <v>14</v>
      </c>
      <c r="H707" s="2" t="s">
        <v>11</v>
      </c>
      <c r="I707" s="2">
        <f t="shared" si="22"/>
        <v>272.79000000000002</v>
      </c>
      <c r="J707" s="2">
        <f t="shared" si="23"/>
        <v>1.1429110105580695</v>
      </c>
    </row>
    <row r="708" spans="1:10" x14ac:dyDescent="0.3">
      <c r="A708" s="1">
        <v>45323</v>
      </c>
      <c r="B708">
        <v>1327.73</v>
      </c>
      <c r="C708">
        <v>24.97</v>
      </c>
      <c r="D708">
        <v>3</v>
      </c>
      <c r="E708" s="2" t="s">
        <v>8</v>
      </c>
      <c r="F708" s="2" t="s">
        <v>17</v>
      </c>
      <c r="G708" s="2" t="s">
        <v>12</v>
      </c>
      <c r="H708" s="2" t="s">
        <v>15</v>
      </c>
      <c r="I708" s="2">
        <f t="shared" si="22"/>
        <v>1302.76</v>
      </c>
      <c r="J708" s="2">
        <f t="shared" si="23"/>
        <v>52.173007609130963</v>
      </c>
    </row>
    <row r="709" spans="1:10" x14ac:dyDescent="0.3">
      <c r="A709" s="1">
        <v>45349</v>
      </c>
      <c r="B709">
        <v>1417.08</v>
      </c>
      <c r="C709">
        <v>398.36</v>
      </c>
      <c r="D709">
        <v>9</v>
      </c>
      <c r="E709" s="2" t="s">
        <v>8</v>
      </c>
      <c r="F709" s="2" t="s">
        <v>9</v>
      </c>
      <c r="G709" s="2" t="s">
        <v>10</v>
      </c>
      <c r="H709" s="2" t="s">
        <v>15</v>
      </c>
      <c r="I709" s="2">
        <f t="shared" si="22"/>
        <v>1018.7199999999999</v>
      </c>
      <c r="J709" s="2">
        <f t="shared" si="23"/>
        <v>2.55728486795863</v>
      </c>
    </row>
    <row r="710" spans="1:10" x14ac:dyDescent="0.3">
      <c r="A710" s="1">
        <v>45293</v>
      </c>
      <c r="B710">
        <v>377.18</v>
      </c>
      <c r="C710">
        <v>89.68</v>
      </c>
      <c r="D710">
        <v>7</v>
      </c>
      <c r="E710" s="2" t="s">
        <v>13</v>
      </c>
      <c r="F710" s="2" t="s">
        <v>17</v>
      </c>
      <c r="G710" s="2" t="s">
        <v>19</v>
      </c>
      <c r="H710" s="2" t="s">
        <v>20</v>
      </c>
      <c r="I710" s="2">
        <f t="shared" si="22"/>
        <v>287.5</v>
      </c>
      <c r="J710" s="2">
        <f t="shared" si="23"/>
        <v>3.2058429973238178</v>
      </c>
    </row>
    <row r="711" spans="1:10" x14ac:dyDescent="0.3">
      <c r="A711" s="1">
        <v>45394</v>
      </c>
      <c r="B711">
        <v>1013.72</v>
      </c>
      <c r="C711">
        <v>148.61000000000001</v>
      </c>
      <c r="D711">
        <v>0</v>
      </c>
      <c r="E711" s="2" t="s">
        <v>16</v>
      </c>
      <c r="F711" s="2" t="s">
        <v>9</v>
      </c>
      <c r="G711" s="2" t="s">
        <v>12</v>
      </c>
      <c r="H711" s="2" t="s">
        <v>18</v>
      </c>
      <c r="I711" s="2">
        <f t="shared" si="22"/>
        <v>865.11</v>
      </c>
      <c r="J711" s="2">
        <f t="shared" si="23"/>
        <v>5.8213444586501577</v>
      </c>
    </row>
    <row r="712" spans="1:10" x14ac:dyDescent="0.3">
      <c r="A712" s="1">
        <v>45305</v>
      </c>
      <c r="B712">
        <v>1041.43</v>
      </c>
      <c r="C712">
        <v>245.74</v>
      </c>
      <c r="D712">
        <v>5</v>
      </c>
      <c r="E712" s="2" t="s">
        <v>8</v>
      </c>
      <c r="F712" s="2" t="s">
        <v>9</v>
      </c>
      <c r="G712" s="2" t="s">
        <v>14</v>
      </c>
      <c r="H712" s="2" t="s">
        <v>11</v>
      </c>
      <c r="I712" s="2">
        <f t="shared" si="22"/>
        <v>795.69</v>
      </c>
      <c r="J712" s="2">
        <f t="shared" si="23"/>
        <v>3.237934402213722</v>
      </c>
    </row>
    <row r="713" spans="1:10" x14ac:dyDescent="0.3">
      <c r="A713" s="1">
        <v>45382</v>
      </c>
      <c r="B713">
        <v>309.06</v>
      </c>
      <c r="C713">
        <v>22.57</v>
      </c>
      <c r="D713">
        <v>2</v>
      </c>
      <c r="E713" s="2" t="s">
        <v>8</v>
      </c>
      <c r="F713" s="2" t="s">
        <v>17</v>
      </c>
      <c r="G713" s="2" t="s">
        <v>19</v>
      </c>
      <c r="H713" s="2" t="s">
        <v>18</v>
      </c>
      <c r="I713" s="2">
        <f t="shared" si="22"/>
        <v>286.49</v>
      </c>
      <c r="J713" s="2">
        <f t="shared" si="23"/>
        <v>12.693398316349136</v>
      </c>
    </row>
    <row r="714" spans="1:10" x14ac:dyDescent="0.3">
      <c r="A714" s="1">
        <v>45403</v>
      </c>
      <c r="B714">
        <v>508.42</v>
      </c>
      <c r="C714">
        <v>336.13</v>
      </c>
      <c r="D714">
        <v>0</v>
      </c>
      <c r="E714" s="2" t="s">
        <v>13</v>
      </c>
      <c r="F714" s="2" t="s">
        <v>17</v>
      </c>
      <c r="G714" s="2" t="s">
        <v>12</v>
      </c>
      <c r="H714" s="2" t="s">
        <v>20</v>
      </c>
      <c r="I714" s="2">
        <f t="shared" si="22"/>
        <v>172.29000000000002</v>
      </c>
      <c r="J714" s="2">
        <f t="shared" si="23"/>
        <v>0.51256954154642553</v>
      </c>
    </row>
    <row r="715" spans="1:10" x14ac:dyDescent="0.3">
      <c r="A715" s="1">
        <v>45319</v>
      </c>
      <c r="B715">
        <v>52.57</v>
      </c>
      <c r="C715">
        <v>266.04000000000002</v>
      </c>
      <c r="D715">
        <v>1</v>
      </c>
      <c r="E715" s="2" t="s">
        <v>13</v>
      </c>
      <c r="F715" s="2" t="s">
        <v>9</v>
      </c>
      <c r="G715" s="2" t="s">
        <v>10</v>
      </c>
      <c r="H715" s="2" t="s">
        <v>18</v>
      </c>
      <c r="I715" s="2">
        <f t="shared" si="22"/>
        <v>-213.47000000000003</v>
      </c>
      <c r="J715" s="2">
        <f t="shared" si="23"/>
        <v>-0.80239813561870399</v>
      </c>
    </row>
    <row r="716" spans="1:10" x14ac:dyDescent="0.3">
      <c r="A716" s="1">
        <v>45306</v>
      </c>
      <c r="B716">
        <v>161.11000000000001</v>
      </c>
      <c r="C716">
        <v>122.83</v>
      </c>
      <c r="D716">
        <v>2</v>
      </c>
      <c r="E716" s="2" t="s">
        <v>8</v>
      </c>
      <c r="F716" s="2" t="s">
        <v>17</v>
      </c>
      <c r="G716" s="2" t="s">
        <v>14</v>
      </c>
      <c r="H716" s="2" t="s">
        <v>11</v>
      </c>
      <c r="I716" s="2">
        <f t="shared" si="22"/>
        <v>38.280000000000015</v>
      </c>
      <c r="J716" s="2">
        <f t="shared" si="23"/>
        <v>0.31165024831067339</v>
      </c>
    </row>
    <row r="717" spans="1:10" x14ac:dyDescent="0.3">
      <c r="A717" s="1">
        <v>45295</v>
      </c>
      <c r="B717">
        <v>211.66</v>
      </c>
      <c r="C717">
        <v>229.77</v>
      </c>
      <c r="D717">
        <v>1</v>
      </c>
      <c r="E717" s="2" t="s">
        <v>13</v>
      </c>
      <c r="F717" s="2" t="s">
        <v>17</v>
      </c>
      <c r="G717" s="2" t="s">
        <v>19</v>
      </c>
      <c r="H717" s="2" t="s">
        <v>15</v>
      </c>
      <c r="I717" s="2">
        <f t="shared" si="22"/>
        <v>-18.110000000000014</v>
      </c>
      <c r="J717" s="2">
        <f t="shared" si="23"/>
        <v>-7.8817948383165831E-2</v>
      </c>
    </row>
    <row r="718" spans="1:10" x14ac:dyDescent="0.3">
      <c r="A718" s="1">
        <v>45376</v>
      </c>
      <c r="B718">
        <v>363.21</v>
      </c>
      <c r="C718">
        <v>284.45999999999998</v>
      </c>
      <c r="D718">
        <v>0</v>
      </c>
      <c r="E718" s="2" t="s">
        <v>16</v>
      </c>
      <c r="F718" s="2" t="s">
        <v>17</v>
      </c>
      <c r="G718" s="2" t="s">
        <v>14</v>
      </c>
      <c r="H718" s="2" t="s">
        <v>15</v>
      </c>
      <c r="I718" s="2">
        <f t="shared" si="22"/>
        <v>78.75</v>
      </c>
      <c r="J718" s="2">
        <f t="shared" si="23"/>
        <v>0.2768403290445054</v>
      </c>
    </row>
    <row r="719" spans="1:10" x14ac:dyDescent="0.3">
      <c r="A719" s="1">
        <v>45326</v>
      </c>
      <c r="B719">
        <v>1459.69</v>
      </c>
      <c r="C719">
        <v>140.35</v>
      </c>
      <c r="D719">
        <v>2</v>
      </c>
      <c r="E719" s="2" t="s">
        <v>8</v>
      </c>
      <c r="F719" s="2" t="s">
        <v>17</v>
      </c>
      <c r="G719" s="2" t="s">
        <v>14</v>
      </c>
      <c r="H719" s="2" t="s">
        <v>15</v>
      </c>
      <c r="I719" s="2">
        <f t="shared" si="22"/>
        <v>1319.3400000000001</v>
      </c>
      <c r="J719" s="2">
        <f t="shared" si="23"/>
        <v>9.4003562522265778</v>
      </c>
    </row>
    <row r="720" spans="1:10" x14ac:dyDescent="0.3">
      <c r="A720" s="1">
        <v>45381</v>
      </c>
      <c r="B720">
        <v>323.45</v>
      </c>
      <c r="C720">
        <v>488.64</v>
      </c>
      <c r="D720">
        <v>6</v>
      </c>
      <c r="E720" s="2" t="s">
        <v>16</v>
      </c>
      <c r="F720" s="2" t="s">
        <v>17</v>
      </c>
      <c r="G720" s="2" t="s">
        <v>19</v>
      </c>
      <c r="H720" s="2" t="s">
        <v>11</v>
      </c>
      <c r="I720" s="2">
        <f t="shared" si="22"/>
        <v>-165.19</v>
      </c>
      <c r="J720" s="2">
        <f t="shared" si="23"/>
        <v>-0.3380607400130976</v>
      </c>
    </row>
    <row r="721" spans="1:10" x14ac:dyDescent="0.3">
      <c r="A721" s="1">
        <v>45355</v>
      </c>
      <c r="B721">
        <v>1267.07</v>
      </c>
      <c r="C721">
        <v>482.49</v>
      </c>
      <c r="D721">
        <v>2</v>
      </c>
      <c r="E721" s="2" t="s">
        <v>8</v>
      </c>
      <c r="F721" s="2" t="s">
        <v>9</v>
      </c>
      <c r="G721" s="2" t="s">
        <v>19</v>
      </c>
      <c r="H721" s="2" t="s">
        <v>11</v>
      </c>
      <c r="I721" s="2">
        <f t="shared" si="22"/>
        <v>784.57999999999993</v>
      </c>
      <c r="J721" s="2">
        <f t="shared" si="23"/>
        <v>1.6261062405438453</v>
      </c>
    </row>
    <row r="722" spans="1:10" x14ac:dyDescent="0.3">
      <c r="A722" s="1">
        <v>45362</v>
      </c>
      <c r="B722">
        <v>630.92999999999995</v>
      </c>
      <c r="C722">
        <v>466.97</v>
      </c>
      <c r="D722">
        <v>1</v>
      </c>
      <c r="E722" s="2" t="s">
        <v>8</v>
      </c>
      <c r="F722" s="2" t="s">
        <v>9</v>
      </c>
      <c r="G722" s="2" t="s">
        <v>14</v>
      </c>
      <c r="H722" s="2" t="s">
        <v>15</v>
      </c>
      <c r="I722" s="2">
        <f t="shared" si="22"/>
        <v>163.95999999999992</v>
      </c>
      <c r="J722" s="2">
        <f t="shared" si="23"/>
        <v>0.35111463263164638</v>
      </c>
    </row>
    <row r="723" spans="1:10" x14ac:dyDescent="0.3">
      <c r="A723" s="1">
        <v>45322</v>
      </c>
      <c r="B723">
        <v>625.79</v>
      </c>
      <c r="C723">
        <v>333.82</v>
      </c>
      <c r="D723">
        <v>0</v>
      </c>
      <c r="E723" s="2" t="s">
        <v>16</v>
      </c>
      <c r="F723" s="2" t="s">
        <v>9</v>
      </c>
      <c r="G723" s="2" t="s">
        <v>19</v>
      </c>
      <c r="H723" s="2" t="s">
        <v>20</v>
      </c>
      <c r="I723" s="2">
        <f t="shared" si="22"/>
        <v>291.96999999999997</v>
      </c>
      <c r="J723" s="2">
        <f t="shared" si="23"/>
        <v>0.87463303576777895</v>
      </c>
    </row>
    <row r="724" spans="1:10" x14ac:dyDescent="0.3">
      <c r="A724" s="1">
        <v>45340</v>
      </c>
      <c r="B724">
        <v>1131.78</v>
      </c>
      <c r="C724">
        <v>287.11</v>
      </c>
      <c r="D724">
        <v>7</v>
      </c>
      <c r="E724" s="2" t="s">
        <v>13</v>
      </c>
      <c r="F724" s="2" t="s">
        <v>17</v>
      </c>
      <c r="G724" s="2" t="s">
        <v>14</v>
      </c>
      <c r="H724" s="2" t="s">
        <v>11</v>
      </c>
      <c r="I724" s="2">
        <f t="shared" si="22"/>
        <v>844.67</v>
      </c>
      <c r="J724" s="2">
        <f t="shared" si="23"/>
        <v>2.9419734596496112</v>
      </c>
    </row>
    <row r="725" spans="1:10" x14ac:dyDescent="0.3">
      <c r="A725" s="1">
        <v>45381</v>
      </c>
      <c r="B725">
        <v>1074.68</v>
      </c>
      <c r="C725">
        <v>136.31</v>
      </c>
      <c r="D725">
        <v>7</v>
      </c>
      <c r="E725" s="2" t="s">
        <v>16</v>
      </c>
      <c r="F725" s="2" t="s">
        <v>17</v>
      </c>
      <c r="G725" s="2" t="s">
        <v>10</v>
      </c>
      <c r="H725" s="2" t="s">
        <v>18</v>
      </c>
      <c r="I725" s="2">
        <f t="shared" si="22"/>
        <v>938.37000000000012</v>
      </c>
      <c r="J725" s="2">
        <f t="shared" si="23"/>
        <v>6.8840877411781971</v>
      </c>
    </row>
    <row r="726" spans="1:10" x14ac:dyDescent="0.3">
      <c r="A726" s="1">
        <v>45319</v>
      </c>
      <c r="B726">
        <v>779.7</v>
      </c>
      <c r="C726">
        <v>465</v>
      </c>
      <c r="D726">
        <v>5</v>
      </c>
      <c r="E726" s="2" t="s">
        <v>8</v>
      </c>
      <c r="F726" s="2" t="s">
        <v>17</v>
      </c>
      <c r="G726" s="2" t="s">
        <v>12</v>
      </c>
      <c r="H726" s="2" t="s">
        <v>18</v>
      </c>
      <c r="I726" s="2">
        <f t="shared" si="22"/>
        <v>314.70000000000005</v>
      </c>
      <c r="J726" s="2">
        <f t="shared" si="23"/>
        <v>0.67677419354838719</v>
      </c>
    </row>
    <row r="727" spans="1:10" x14ac:dyDescent="0.3">
      <c r="A727" s="1">
        <v>45370</v>
      </c>
      <c r="B727">
        <v>680.08</v>
      </c>
      <c r="C727">
        <v>282.5</v>
      </c>
      <c r="D727">
        <v>8</v>
      </c>
      <c r="E727" s="2" t="s">
        <v>16</v>
      </c>
      <c r="F727" s="2" t="s">
        <v>17</v>
      </c>
      <c r="G727" s="2" t="s">
        <v>12</v>
      </c>
      <c r="H727" s="2" t="s">
        <v>20</v>
      </c>
      <c r="I727" s="2">
        <f t="shared" si="22"/>
        <v>397.58000000000004</v>
      </c>
      <c r="J727" s="2">
        <f t="shared" si="23"/>
        <v>1.4073628318584073</v>
      </c>
    </row>
    <row r="728" spans="1:10" x14ac:dyDescent="0.3">
      <c r="A728" s="1">
        <v>45345</v>
      </c>
      <c r="B728">
        <v>1236.19</v>
      </c>
      <c r="C728">
        <v>324.44</v>
      </c>
      <c r="D728">
        <v>2</v>
      </c>
      <c r="E728" s="2" t="s">
        <v>13</v>
      </c>
      <c r="F728" s="2" t="s">
        <v>17</v>
      </c>
      <c r="G728" s="2" t="s">
        <v>10</v>
      </c>
      <c r="H728" s="2" t="s">
        <v>15</v>
      </c>
      <c r="I728" s="2">
        <f t="shared" si="22"/>
        <v>911.75</v>
      </c>
      <c r="J728" s="2">
        <f t="shared" si="23"/>
        <v>2.8102268524226361</v>
      </c>
    </row>
    <row r="729" spans="1:10" x14ac:dyDescent="0.3">
      <c r="A729" s="1">
        <v>45396</v>
      </c>
      <c r="B729">
        <v>236.72</v>
      </c>
      <c r="C729">
        <v>40.46</v>
      </c>
      <c r="D729">
        <v>4</v>
      </c>
      <c r="E729" s="2" t="s">
        <v>13</v>
      </c>
      <c r="F729" s="2" t="s">
        <v>9</v>
      </c>
      <c r="G729" s="2" t="s">
        <v>10</v>
      </c>
      <c r="H729" s="2" t="s">
        <v>15</v>
      </c>
      <c r="I729" s="2">
        <f t="shared" si="22"/>
        <v>196.26</v>
      </c>
      <c r="J729" s="2">
        <f t="shared" si="23"/>
        <v>4.8507167572911518</v>
      </c>
    </row>
    <row r="730" spans="1:10" x14ac:dyDescent="0.3">
      <c r="A730" s="1">
        <v>45313</v>
      </c>
      <c r="B730">
        <v>1376.93</v>
      </c>
      <c r="C730">
        <v>267.86</v>
      </c>
      <c r="D730">
        <v>3</v>
      </c>
      <c r="E730" s="2" t="s">
        <v>16</v>
      </c>
      <c r="F730" s="2" t="s">
        <v>17</v>
      </c>
      <c r="G730" s="2" t="s">
        <v>19</v>
      </c>
      <c r="H730" s="2" t="s">
        <v>15</v>
      </c>
      <c r="I730" s="2">
        <f t="shared" si="22"/>
        <v>1109.0700000000002</v>
      </c>
      <c r="J730" s="2">
        <f t="shared" si="23"/>
        <v>4.1404838348390953</v>
      </c>
    </row>
    <row r="731" spans="1:10" x14ac:dyDescent="0.3">
      <c r="A731" s="1">
        <v>45365</v>
      </c>
      <c r="B731">
        <v>1465.69</v>
      </c>
      <c r="C731">
        <v>431.42</v>
      </c>
      <c r="D731">
        <v>5</v>
      </c>
      <c r="E731" s="2" t="s">
        <v>16</v>
      </c>
      <c r="F731" s="2" t="s">
        <v>9</v>
      </c>
      <c r="G731" s="2" t="s">
        <v>12</v>
      </c>
      <c r="H731" s="2" t="s">
        <v>15</v>
      </c>
      <c r="I731" s="2">
        <f t="shared" si="22"/>
        <v>1034.27</v>
      </c>
      <c r="J731" s="2">
        <f t="shared" si="23"/>
        <v>2.3973621992489917</v>
      </c>
    </row>
    <row r="732" spans="1:10" x14ac:dyDescent="0.3">
      <c r="A732" s="1">
        <v>45344</v>
      </c>
      <c r="B732">
        <v>1096</v>
      </c>
      <c r="C732">
        <v>482.17</v>
      </c>
      <c r="D732">
        <v>1</v>
      </c>
      <c r="E732" s="2" t="s">
        <v>8</v>
      </c>
      <c r="F732" s="2" t="s">
        <v>17</v>
      </c>
      <c r="G732" s="2" t="s">
        <v>19</v>
      </c>
      <c r="H732" s="2" t="s">
        <v>11</v>
      </c>
      <c r="I732" s="2">
        <f t="shared" si="22"/>
        <v>613.82999999999993</v>
      </c>
      <c r="J732" s="2">
        <f t="shared" si="23"/>
        <v>1.2730572204824022</v>
      </c>
    </row>
    <row r="733" spans="1:10" x14ac:dyDescent="0.3">
      <c r="A733" s="1">
        <v>45394</v>
      </c>
      <c r="B733">
        <v>1137.01</v>
      </c>
      <c r="C733">
        <v>159.35</v>
      </c>
      <c r="D733">
        <v>7</v>
      </c>
      <c r="E733" s="2" t="s">
        <v>13</v>
      </c>
      <c r="F733" s="2" t="s">
        <v>17</v>
      </c>
      <c r="G733" s="2" t="s">
        <v>19</v>
      </c>
      <c r="H733" s="2" t="s">
        <v>11</v>
      </c>
      <c r="I733" s="2">
        <f t="shared" si="22"/>
        <v>977.66</v>
      </c>
      <c r="J733" s="2">
        <f t="shared" si="23"/>
        <v>6.1352996548478194</v>
      </c>
    </row>
    <row r="734" spans="1:10" x14ac:dyDescent="0.3">
      <c r="A734" s="1">
        <v>45358</v>
      </c>
      <c r="B734">
        <v>1437.28</v>
      </c>
      <c r="C734">
        <v>443.43</v>
      </c>
      <c r="D734">
        <v>7</v>
      </c>
      <c r="E734" s="2" t="s">
        <v>8</v>
      </c>
      <c r="F734" s="2" t="s">
        <v>9</v>
      </c>
      <c r="G734" s="2" t="s">
        <v>19</v>
      </c>
      <c r="H734" s="2" t="s">
        <v>15</v>
      </c>
      <c r="I734" s="2">
        <f t="shared" si="22"/>
        <v>993.84999999999991</v>
      </c>
      <c r="J734" s="2">
        <f t="shared" si="23"/>
        <v>2.2412782175315153</v>
      </c>
    </row>
    <row r="735" spans="1:10" x14ac:dyDescent="0.3">
      <c r="A735" s="1">
        <v>45386</v>
      </c>
      <c r="B735">
        <v>968.37</v>
      </c>
      <c r="C735">
        <v>57.36</v>
      </c>
      <c r="D735">
        <v>5</v>
      </c>
      <c r="E735" s="2" t="s">
        <v>16</v>
      </c>
      <c r="F735" s="2" t="s">
        <v>17</v>
      </c>
      <c r="G735" s="2" t="s">
        <v>14</v>
      </c>
      <c r="H735" s="2" t="s">
        <v>18</v>
      </c>
      <c r="I735" s="2">
        <f t="shared" si="22"/>
        <v>911.01</v>
      </c>
      <c r="J735" s="2">
        <f t="shared" si="23"/>
        <v>15.882322175732218</v>
      </c>
    </row>
    <row r="736" spans="1:10" x14ac:dyDescent="0.3">
      <c r="A736" s="1">
        <v>45295</v>
      </c>
      <c r="B736">
        <v>874.45</v>
      </c>
      <c r="C736">
        <v>130.16</v>
      </c>
      <c r="D736">
        <v>2</v>
      </c>
      <c r="E736" s="2" t="s">
        <v>13</v>
      </c>
      <c r="F736" s="2" t="s">
        <v>17</v>
      </c>
      <c r="G736" s="2" t="s">
        <v>12</v>
      </c>
      <c r="H736" s="2" t="s">
        <v>11</v>
      </c>
      <c r="I736" s="2">
        <f t="shared" si="22"/>
        <v>744.29000000000008</v>
      </c>
      <c r="J736" s="2">
        <f t="shared" si="23"/>
        <v>5.7182698217578372</v>
      </c>
    </row>
    <row r="737" spans="1:10" x14ac:dyDescent="0.3">
      <c r="A737" s="1">
        <v>45305</v>
      </c>
      <c r="B737">
        <v>1106.56</v>
      </c>
      <c r="C737">
        <v>287.76</v>
      </c>
      <c r="D737">
        <v>2</v>
      </c>
      <c r="E737" s="2" t="s">
        <v>16</v>
      </c>
      <c r="F737" s="2" t="s">
        <v>17</v>
      </c>
      <c r="G737" s="2" t="s">
        <v>12</v>
      </c>
      <c r="H737" s="2" t="s">
        <v>11</v>
      </c>
      <c r="I737" s="2">
        <f t="shared" si="22"/>
        <v>818.8</v>
      </c>
      <c r="J737" s="2">
        <f t="shared" si="23"/>
        <v>2.8454267445093131</v>
      </c>
    </row>
    <row r="738" spans="1:10" x14ac:dyDescent="0.3">
      <c r="A738" s="1">
        <v>45322</v>
      </c>
      <c r="B738">
        <v>204.03</v>
      </c>
      <c r="C738">
        <v>55.25</v>
      </c>
      <c r="D738">
        <v>1</v>
      </c>
      <c r="E738" s="2" t="s">
        <v>16</v>
      </c>
      <c r="F738" s="2" t="s">
        <v>9</v>
      </c>
      <c r="G738" s="2" t="s">
        <v>14</v>
      </c>
      <c r="H738" s="2" t="s">
        <v>18</v>
      </c>
      <c r="I738" s="2">
        <f t="shared" si="22"/>
        <v>148.78</v>
      </c>
      <c r="J738" s="2">
        <f t="shared" si="23"/>
        <v>2.6928506787330315</v>
      </c>
    </row>
    <row r="739" spans="1:10" x14ac:dyDescent="0.3">
      <c r="A739" s="1">
        <v>45409</v>
      </c>
      <c r="B739">
        <v>1135.96</v>
      </c>
      <c r="C739">
        <v>121.18</v>
      </c>
      <c r="D739">
        <v>8</v>
      </c>
      <c r="E739" s="2" t="s">
        <v>8</v>
      </c>
      <c r="F739" s="2" t="s">
        <v>17</v>
      </c>
      <c r="G739" s="2" t="s">
        <v>10</v>
      </c>
      <c r="H739" s="2" t="s">
        <v>15</v>
      </c>
      <c r="I739" s="2">
        <f t="shared" si="22"/>
        <v>1014.78</v>
      </c>
      <c r="J739" s="2">
        <f t="shared" si="23"/>
        <v>8.3741541508499751</v>
      </c>
    </row>
    <row r="740" spans="1:10" x14ac:dyDescent="0.3">
      <c r="A740" s="1">
        <v>45303</v>
      </c>
      <c r="B740">
        <v>1274.25</v>
      </c>
      <c r="C740">
        <v>363.87</v>
      </c>
      <c r="D740">
        <v>0</v>
      </c>
      <c r="E740" s="2" t="s">
        <v>16</v>
      </c>
      <c r="F740" s="2" t="s">
        <v>17</v>
      </c>
      <c r="G740" s="2" t="s">
        <v>14</v>
      </c>
      <c r="H740" s="2" t="s">
        <v>18</v>
      </c>
      <c r="I740" s="2">
        <f t="shared" si="22"/>
        <v>910.38</v>
      </c>
      <c r="J740" s="2">
        <f t="shared" si="23"/>
        <v>2.5019375051529393</v>
      </c>
    </row>
    <row r="741" spans="1:10" x14ac:dyDescent="0.3">
      <c r="A741" s="1">
        <v>45377</v>
      </c>
      <c r="B741">
        <v>214.15</v>
      </c>
      <c r="C741">
        <v>463.92</v>
      </c>
      <c r="D741">
        <v>9</v>
      </c>
      <c r="E741" s="2" t="s">
        <v>8</v>
      </c>
      <c r="F741" s="2" t="s">
        <v>17</v>
      </c>
      <c r="G741" s="2" t="s">
        <v>14</v>
      </c>
      <c r="H741" s="2" t="s">
        <v>18</v>
      </c>
      <c r="I741" s="2">
        <f t="shared" si="22"/>
        <v>-249.77</v>
      </c>
      <c r="J741" s="2">
        <f t="shared" si="23"/>
        <v>-0.53839023969649935</v>
      </c>
    </row>
    <row r="742" spans="1:10" x14ac:dyDescent="0.3">
      <c r="A742" s="1">
        <v>45343</v>
      </c>
      <c r="B742">
        <v>156.80000000000001</v>
      </c>
      <c r="C742">
        <v>234.82</v>
      </c>
      <c r="D742">
        <v>7</v>
      </c>
      <c r="E742" s="2" t="s">
        <v>13</v>
      </c>
      <c r="F742" s="2" t="s">
        <v>9</v>
      </c>
      <c r="G742" s="2" t="s">
        <v>14</v>
      </c>
      <c r="H742" s="2" t="s">
        <v>11</v>
      </c>
      <c r="I742" s="2">
        <f t="shared" si="22"/>
        <v>-78.019999999999982</v>
      </c>
      <c r="J742" s="2">
        <f t="shared" si="23"/>
        <v>-0.33225449280299796</v>
      </c>
    </row>
    <row r="743" spans="1:10" x14ac:dyDescent="0.3">
      <c r="A743" s="1">
        <v>45380</v>
      </c>
      <c r="B743">
        <v>350.72</v>
      </c>
      <c r="C743">
        <v>477.49</v>
      </c>
      <c r="D743">
        <v>10</v>
      </c>
      <c r="E743" s="2" t="s">
        <v>13</v>
      </c>
      <c r="F743" s="2" t="s">
        <v>9</v>
      </c>
      <c r="G743" s="2" t="s">
        <v>10</v>
      </c>
      <c r="H743" s="2" t="s">
        <v>20</v>
      </c>
      <c r="I743" s="2">
        <f t="shared" si="22"/>
        <v>-126.76999999999998</v>
      </c>
      <c r="J743" s="2">
        <f t="shared" si="23"/>
        <v>-0.26549247104651402</v>
      </c>
    </row>
    <row r="744" spans="1:10" x14ac:dyDescent="0.3">
      <c r="A744" s="1">
        <v>45406</v>
      </c>
      <c r="B744">
        <v>1467.99</v>
      </c>
      <c r="C744">
        <v>179.96</v>
      </c>
      <c r="D744">
        <v>1</v>
      </c>
      <c r="E744" s="2" t="s">
        <v>8</v>
      </c>
      <c r="F744" s="2" t="s">
        <v>9</v>
      </c>
      <c r="G744" s="2" t="s">
        <v>10</v>
      </c>
      <c r="H744" s="2" t="s">
        <v>18</v>
      </c>
      <c r="I744" s="2">
        <f t="shared" si="22"/>
        <v>1288.03</v>
      </c>
      <c r="J744" s="2">
        <f t="shared" si="23"/>
        <v>7.1573127361635915</v>
      </c>
    </row>
    <row r="745" spans="1:10" x14ac:dyDescent="0.3">
      <c r="A745" s="1">
        <v>45344</v>
      </c>
      <c r="B745">
        <v>273.81</v>
      </c>
      <c r="C745">
        <v>341.27</v>
      </c>
      <c r="D745">
        <v>1</v>
      </c>
      <c r="E745" s="2" t="s">
        <v>16</v>
      </c>
      <c r="F745" s="2" t="s">
        <v>17</v>
      </c>
      <c r="G745" s="2" t="s">
        <v>12</v>
      </c>
      <c r="H745" s="2" t="s">
        <v>18</v>
      </c>
      <c r="I745" s="2">
        <f t="shared" si="22"/>
        <v>-67.45999999999998</v>
      </c>
      <c r="J745" s="2">
        <f t="shared" si="23"/>
        <v>-0.19767339643097837</v>
      </c>
    </row>
    <row r="746" spans="1:10" x14ac:dyDescent="0.3">
      <c r="A746" s="1">
        <v>45365</v>
      </c>
      <c r="B746">
        <v>618.25</v>
      </c>
      <c r="C746">
        <v>189.31</v>
      </c>
      <c r="D746">
        <v>7</v>
      </c>
      <c r="E746" s="2" t="s">
        <v>8</v>
      </c>
      <c r="F746" s="2" t="s">
        <v>17</v>
      </c>
      <c r="G746" s="2" t="s">
        <v>10</v>
      </c>
      <c r="H746" s="2" t="s">
        <v>20</v>
      </c>
      <c r="I746" s="2">
        <f t="shared" si="22"/>
        <v>428.94</v>
      </c>
      <c r="J746" s="2">
        <f t="shared" si="23"/>
        <v>2.2658074058422693</v>
      </c>
    </row>
    <row r="747" spans="1:10" x14ac:dyDescent="0.3">
      <c r="A747" s="1">
        <v>45337</v>
      </c>
      <c r="B747">
        <v>1231.6300000000001</v>
      </c>
      <c r="C747">
        <v>51.21</v>
      </c>
      <c r="D747">
        <v>4</v>
      </c>
      <c r="E747" s="2" t="s">
        <v>16</v>
      </c>
      <c r="F747" s="2" t="s">
        <v>17</v>
      </c>
      <c r="G747" s="2" t="s">
        <v>12</v>
      </c>
      <c r="H747" s="2" t="s">
        <v>11</v>
      </c>
      <c r="I747" s="2">
        <f t="shared" si="22"/>
        <v>1180.42</v>
      </c>
      <c r="J747" s="2">
        <f t="shared" si="23"/>
        <v>23.050576059363408</v>
      </c>
    </row>
    <row r="748" spans="1:10" x14ac:dyDescent="0.3">
      <c r="A748" s="1">
        <v>45298</v>
      </c>
      <c r="B748">
        <v>549.41</v>
      </c>
      <c r="C748">
        <v>430.34</v>
      </c>
      <c r="D748">
        <v>7</v>
      </c>
      <c r="E748" s="2" t="s">
        <v>16</v>
      </c>
      <c r="F748" s="2" t="s">
        <v>9</v>
      </c>
      <c r="G748" s="2" t="s">
        <v>19</v>
      </c>
      <c r="H748" s="2" t="s">
        <v>20</v>
      </c>
      <c r="I748" s="2">
        <f t="shared" si="22"/>
        <v>119.07</v>
      </c>
      <c r="J748" s="2">
        <f t="shared" si="23"/>
        <v>0.27668820002788491</v>
      </c>
    </row>
    <row r="749" spans="1:10" x14ac:dyDescent="0.3">
      <c r="A749" s="1">
        <v>45376</v>
      </c>
      <c r="B749">
        <v>1222.1099999999999</v>
      </c>
      <c r="C749">
        <v>219.8</v>
      </c>
      <c r="D749">
        <v>0</v>
      </c>
      <c r="E749" s="2" t="s">
        <v>16</v>
      </c>
      <c r="F749" s="2" t="s">
        <v>17</v>
      </c>
      <c r="G749" s="2" t="s">
        <v>19</v>
      </c>
      <c r="H749" s="2" t="s">
        <v>15</v>
      </c>
      <c r="I749" s="2">
        <f t="shared" si="22"/>
        <v>1002.31</v>
      </c>
      <c r="J749" s="2">
        <f t="shared" si="23"/>
        <v>4.5601000909918099</v>
      </c>
    </row>
    <row r="750" spans="1:10" x14ac:dyDescent="0.3">
      <c r="A750" s="1">
        <v>45397</v>
      </c>
      <c r="B750">
        <v>57.89</v>
      </c>
      <c r="C750">
        <v>354.8</v>
      </c>
      <c r="D750">
        <v>2</v>
      </c>
      <c r="E750" s="2" t="s">
        <v>13</v>
      </c>
      <c r="F750" s="2" t="s">
        <v>17</v>
      </c>
      <c r="G750" s="2" t="s">
        <v>10</v>
      </c>
      <c r="H750" s="2" t="s">
        <v>20</v>
      </c>
      <c r="I750" s="2">
        <f t="shared" si="22"/>
        <v>-296.91000000000003</v>
      </c>
      <c r="J750" s="2">
        <f t="shared" si="23"/>
        <v>-0.83683765501691099</v>
      </c>
    </row>
    <row r="751" spans="1:10" x14ac:dyDescent="0.3">
      <c r="A751" s="1">
        <v>45312</v>
      </c>
      <c r="B751">
        <v>1097.1400000000001</v>
      </c>
      <c r="C751">
        <v>229.8</v>
      </c>
      <c r="D751">
        <v>0</v>
      </c>
      <c r="E751" s="2" t="s">
        <v>16</v>
      </c>
      <c r="F751" s="2" t="s">
        <v>9</v>
      </c>
      <c r="G751" s="2" t="s">
        <v>14</v>
      </c>
      <c r="H751" s="2" t="s">
        <v>18</v>
      </c>
      <c r="I751" s="2">
        <f t="shared" si="22"/>
        <v>867.34000000000015</v>
      </c>
      <c r="J751" s="2">
        <f t="shared" si="23"/>
        <v>3.7743255004351615</v>
      </c>
    </row>
    <row r="752" spans="1:10" x14ac:dyDescent="0.3">
      <c r="A752" s="1">
        <v>45386</v>
      </c>
      <c r="B752">
        <v>469.68</v>
      </c>
      <c r="C752">
        <v>471.63</v>
      </c>
      <c r="D752">
        <v>3</v>
      </c>
      <c r="E752" s="2" t="s">
        <v>16</v>
      </c>
      <c r="F752" s="2" t="s">
        <v>17</v>
      </c>
      <c r="G752" s="2" t="s">
        <v>19</v>
      </c>
      <c r="H752" s="2" t="s">
        <v>20</v>
      </c>
      <c r="I752" s="2">
        <f t="shared" si="22"/>
        <v>-1.9499999999999886</v>
      </c>
      <c r="J752" s="2">
        <f t="shared" si="23"/>
        <v>-4.1345970358119474E-3</v>
      </c>
    </row>
    <row r="753" spans="1:10" x14ac:dyDescent="0.3">
      <c r="A753" s="1">
        <v>45395</v>
      </c>
      <c r="B753">
        <v>757.39</v>
      </c>
      <c r="C753">
        <v>182.35</v>
      </c>
      <c r="D753">
        <v>10</v>
      </c>
      <c r="E753" s="2" t="s">
        <v>8</v>
      </c>
      <c r="F753" s="2" t="s">
        <v>17</v>
      </c>
      <c r="G753" s="2" t="s">
        <v>10</v>
      </c>
      <c r="H753" s="2" t="s">
        <v>20</v>
      </c>
      <c r="I753" s="2">
        <f t="shared" si="22"/>
        <v>575.04</v>
      </c>
      <c r="J753" s="2">
        <f t="shared" si="23"/>
        <v>3.1534960241294212</v>
      </c>
    </row>
    <row r="754" spans="1:10" x14ac:dyDescent="0.3">
      <c r="A754" s="1">
        <v>45305</v>
      </c>
      <c r="B754">
        <v>98.06</v>
      </c>
      <c r="C754">
        <v>168.77</v>
      </c>
      <c r="D754">
        <v>5</v>
      </c>
      <c r="E754" s="2" t="s">
        <v>8</v>
      </c>
      <c r="F754" s="2" t="s">
        <v>9</v>
      </c>
      <c r="G754" s="2" t="s">
        <v>12</v>
      </c>
      <c r="H754" s="2" t="s">
        <v>18</v>
      </c>
      <c r="I754" s="2">
        <f t="shared" si="22"/>
        <v>-70.710000000000008</v>
      </c>
      <c r="J754" s="2">
        <f t="shared" si="23"/>
        <v>-0.41897256621437462</v>
      </c>
    </row>
    <row r="755" spans="1:10" x14ac:dyDescent="0.3">
      <c r="A755" s="1">
        <v>45347</v>
      </c>
      <c r="B755">
        <v>419.21</v>
      </c>
      <c r="C755">
        <v>244.99</v>
      </c>
      <c r="D755">
        <v>9</v>
      </c>
      <c r="E755" s="2" t="s">
        <v>16</v>
      </c>
      <c r="F755" s="2" t="s">
        <v>9</v>
      </c>
      <c r="G755" s="2" t="s">
        <v>10</v>
      </c>
      <c r="H755" s="2" t="s">
        <v>15</v>
      </c>
      <c r="I755" s="2">
        <f t="shared" si="22"/>
        <v>174.21999999999997</v>
      </c>
      <c r="J755" s="2">
        <f t="shared" si="23"/>
        <v>0.71113106657414571</v>
      </c>
    </row>
    <row r="756" spans="1:10" x14ac:dyDescent="0.3">
      <c r="A756" s="1">
        <v>45389</v>
      </c>
      <c r="B756">
        <v>1165.45</v>
      </c>
      <c r="C756">
        <v>280.62</v>
      </c>
      <c r="D756">
        <v>1</v>
      </c>
      <c r="E756" s="2" t="s">
        <v>13</v>
      </c>
      <c r="F756" s="2" t="s">
        <v>9</v>
      </c>
      <c r="G756" s="2" t="s">
        <v>12</v>
      </c>
      <c r="H756" s="2" t="s">
        <v>18</v>
      </c>
      <c r="I756" s="2">
        <f t="shared" si="22"/>
        <v>884.83</v>
      </c>
      <c r="J756" s="2">
        <f t="shared" si="23"/>
        <v>3.1531252227211177</v>
      </c>
    </row>
    <row r="757" spans="1:10" x14ac:dyDescent="0.3">
      <c r="A757" s="1">
        <v>45306</v>
      </c>
      <c r="B757">
        <v>1267.1300000000001</v>
      </c>
      <c r="C757">
        <v>363.72</v>
      </c>
      <c r="D757">
        <v>2</v>
      </c>
      <c r="E757" s="2" t="s">
        <v>13</v>
      </c>
      <c r="F757" s="2" t="s">
        <v>9</v>
      </c>
      <c r="G757" s="2" t="s">
        <v>10</v>
      </c>
      <c r="H757" s="2" t="s">
        <v>15</v>
      </c>
      <c r="I757" s="2">
        <f t="shared" si="22"/>
        <v>903.41000000000008</v>
      </c>
      <c r="J757" s="2">
        <f t="shared" si="23"/>
        <v>2.4838062245683492</v>
      </c>
    </row>
    <row r="758" spans="1:10" x14ac:dyDescent="0.3">
      <c r="A758" s="1">
        <v>45302</v>
      </c>
      <c r="B758">
        <v>76.3</v>
      </c>
      <c r="C758">
        <v>425.35</v>
      </c>
      <c r="D758">
        <v>1</v>
      </c>
      <c r="E758" s="2" t="s">
        <v>8</v>
      </c>
      <c r="F758" s="2" t="s">
        <v>9</v>
      </c>
      <c r="G758" s="2" t="s">
        <v>12</v>
      </c>
      <c r="H758" s="2" t="s">
        <v>11</v>
      </c>
      <c r="I758" s="2">
        <f t="shared" si="22"/>
        <v>-349.05</v>
      </c>
      <c r="J758" s="2">
        <f t="shared" si="23"/>
        <v>-0.82061831432937582</v>
      </c>
    </row>
    <row r="759" spans="1:10" x14ac:dyDescent="0.3">
      <c r="A759" s="1">
        <v>45343</v>
      </c>
      <c r="B759">
        <v>77.739999999999995</v>
      </c>
      <c r="C759">
        <v>202.35</v>
      </c>
      <c r="D759">
        <v>4</v>
      </c>
      <c r="E759" s="2" t="s">
        <v>16</v>
      </c>
      <c r="F759" s="2" t="s">
        <v>9</v>
      </c>
      <c r="G759" s="2" t="s">
        <v>12</v>
      </c>
      <c r="H759" s="2" t="s">
        <v>20</v>
      </c>
      <c r="I759" s="2">
        <f t="shared" si="22"/>
        <v>-124.61</v>
      </c>
      <c r="J759" s="2">
        <f t="shared" si="23"/>
        <v>-0.61581418334568816</v>
      </c>
    </row>
    <row r="760" spans="1:10" x14ac:dyDescent="0.3">
      <c r="A760" s="1">
        <v>45401</v>
      </c>
      <c r="B760">
        <v>1150.01</v>
      </c>
      <c r="C760">
        <v>373.96</v>
      </c>
      <c r="D760">
        <v>2</v>
      </c>
      <c r="E760" s="2" t="s">
        <v>8</v>
      </c>
      <c r="F760" s="2" t="s">
        <v>9</v>
      </c>
      <c r="G760" s="2" t="s">
        <v>10</v>
      </c>
      <c r="H760" s="2" t="s">
        <v>20</v>
      </c>
      <c r="I760" s="2">
        <f t="shared" si="22"/>
        <v>776.05</v>
      </c>
      <c r="J760" s="2">
        <f t="shared" si="23"/>
        <v>2.0752219488715369</v>
      </c>
    </row>
    <row r="761" spans="1:10" x14ac:dyDescent="0.3">
      <c r="A761" s="1">
        <v>45357</v>
      </c>
      <c r="B761">
        <v>732.35</v>
      </c>
      <c r="C761">
        <v>215.32</v>
      </c>
      <c r="D761">
        <v>10</v>
      </c>
      <c r="E761" s="2" t="s">
        <v>16</v>
      </c>
      <c r="F761" s="2" t="s">
        <v>9</v>
      </c>
      <c r="G761" s="2" t="s">
        <v>12</v>
      </c>
      <c r="H761" s="2" t="s">
        <v>15</v>
      </c>
      <c r="I761" s="2">
        <f t="shared" si="22"/>
        <v>517.03</v>
      </c>
      <c r="J761" s="2">
        <f t="shared" si="23"/>
        <v>2.4012167936095112</v>
      </c>
    </row>
    <row r="762" spans="1:10" x14ac:dyDescent="0.3">
      <c r="A762" s="1">
        <v>45299</v>
      </c>
      <c r="B762">
        <v>1003.74</v>
      </c>
      <c r="C762">
        <v>182.6</v>
      </c>
      <c r="D762">
        <v>4</v>
      </c>
      <c r="E762" s="2" t="s">
        <v>13</v>
      </c>
      <c r="F762" s="2" t="s">
        <v>17</v>
      </c>
      <c r="G762" s="2" t="s">
        <v>12</v>
      </c>
      <c r="H762" s="2" t="s">
        <v>11</v>
      </c>
      <c r="I762" s="2">
        <f t="shared" si="22"/>
        <v>821.14</v>
      </c>
      <c r="J762" s="2">
        <f t="shared" si="23"/>
        <v>4.4969331872946334</v>
      </c>
    </row>
    <row r="763" spans="1:10" x14ac:dyDescent="0.3">
      <c r="A763" s="1">
        <v>45312</v>
      </c>
      <c r="B763">
        <v>614.54</v>
      </c>
      <c r="C763">
        <v>89.73</v>
      </c>
      <c r="D763">
        <v>9</v>
      </c>
      <c r="E763" s="2" t="s">
        <v>8</v>
      </c>
      <c r="F763" s="2" t="s">
        <v>9</v>
      </c>
      <c r="G763" s="2" t="s">
        <v>12</v>
      </c>
      <c r="H763" s="2" t="s">
        <v>20</v>
      </c>
      <c r="I763" s="2">
        <f t="shared" si="22"/>
        <v>524.80999999999995</v>
      </c>
      <c r="J763" s="2">
        <f t="shared" si="23"/>
        <v>5.8487685278056381</v>
      </c>
    </row>
    <row r="764" spans="1:10" x14ac:dyDescent="0.3">
      <c r="A764" s="1">
        <v>45380</v>
      </c>
      <c r="B764">
        <v>449.04</v>
      </c>
      <c r="C764">
        <v>137.94</v>
      </c>
      <c r="D764">
        <v>7</v>
      </c>
      <c r="E764" s="2" t="s">
        <v>8</v>
      </c>
      <c r="F764" s="2" t="s">
        <v>17</v>
      </c>
      <c r="G764" s="2" t="s">
        <v>10</v>
      </c>
      <c r="H764" s="2" t="s">
        <v>20</v>
      </c>
      <c r="I764" s="2">
        <f t="shared" si="22"/>
        <v>311.10000000000002</v>
      </c>
      <c r="J764" s="2">
        <f t="shared" si="23"/>
        <v>2.2553284036537629</v>
      </c>
    </row>
    <row r="765" spans="1:10" x14ac:dyDescent="0.3">
      <c r="A765" s="1">
        <v>45341</v>
      </c>
      <c r="B765">
        <v>172.92</v>
      </c>
      <c r="C765">
        <v>492.87</v>
      </c>
      <c r="D765">
        <v>1</v>
      </c>
      <c r="E765" s="2" t="s">
        <v>16</v>
      </c>
      <c r="F765" s="2" t="s">
        <v>9</v>
      </c>
      <c r="G765" s="2" t="s">
        <v>19</v>
      </c>
      <c r="H765" s="2" t="s">
        <v>18</v>
      </c>
      <c r="I765" s="2">
        <f t="shared" si="22"/>
        <v>-319.95000000000005</v>
      </c>
      <c r="J765" s="2">
        <f t="shared" si="23"/>
        <v>-0.6491569785136041</v>
      </c>
    </row>
    <row r="766" spans="1:10" x14ac:dyDescent="0.3">
      <c r="A766" s="1">
        <v>45302</v>
      </c>
      <c r="B766">
        <v>247.82</v>
      </c>
      <c r="C766">
        <v>144.58000000000001</v>
      </c>
      <c r="D766">
        <v>10</v>
      </c>
      <c r="E766" s="2" t="s">
        <v>13</v>
      </c>
      <c r="F766" s="2" t="s">
        <v>9</v>
      </c>
      <c r="G766" s="2" t="s">
        <v>12</v>
      </c>
      <c r="H766" s="2" t="s">
        <v>11</v>
      </c>
      <c r="I766" s="2">
        <f t="shared" si="22"/>
        <v>103.23999999999998</v>
      </c>
      <c r="J766" s="2">
        <f t="shared" si="23"/>
        <v>0.71406833586941465</v>
      </c>
    </row>
    <row r="767" spans="1:10" x14ac:dyDescent="0.3">
      <c r="A767" s="1">
        <v>45327</v>
      </c>
      <c r="B767">
        <v>251.02</v>
      </c>
      <c r="C767">
        <v>104.11</v>
      </c>
      <c r="D767">
        <v>1</v>
      </c>
      <c r="E767" s="2" t="s">
        <v>16</v>
      </c>
      <c r="F767" s="2" t="s">
        <v>9</v>
      </c>
      <c r="G767" s="2" t="s">
        <v>12</v>
      </c>
      <c r="H767" s="2" t="s">
        <v>15</v>
      </c>
      <c r="I767" s="2">
        <f t="shared" si="22"/>
        <v>146.91000000000003</v>
      </c>
      <c r="J767" s="2">
        <f t="shared" si="23"/>
        <v>1.4111036403803672</v>
      </c>
    </row>
    <row r="768" spans="1:10" x14ac:dyDescent="0.3">
      <c r="A768" s="1">
        <v>45385</v>
      </c>
      <c r="B768">
        <v>418.67</v>
      </c>
      <c r="C768">
        <v>248.92</v>
      </c>
      <c r="D768">
        <v>10</v>
      </c>
      <c r="E768" s="2" t="s">
        <v>8</v>
      </c>
      <c r="F768" s="2" t="s">
        <v>17</v>
      </c>
      <c r="G768" s="2" t="s">
        <v>10</v>
      </c>
      <c r="H768" s="2" t="s">
        <v>20</v>
      </c>
      <c r="I768" s="2">
        <f t="shared" si="22"/>
        <v>169.75000000000003</v>
      </c>
      <c r="J768" s="2">
        <f t="shared" si="23"/>
        <v>0.68194600674915651</v>
      </c>
    </row>
    <row r="769" spans="1:10" x14ac:dyDescent="0.3">
      <c r="A769" s="1">
        <v>45383</v>
      </c>
      <c r="B769">
        <v>866.07</v>
      </c>
      <c r="C769">
        <v>183.79</v>
      </c>
      <c r="D769">
        <v>4</v>
      </c>
      <c r="E769" s="2" t="s">
        <v>8</v>
      </c>
      <c r="F769" s="2" t="s">
        <v>9</v>
      </c>
      <c r="G769" s="2" t="s">
        <v>12</v>
      </c>
      <c r="H769" s="2" t="s">
        <v>15</v>
      </c>
      <c r="I769" s="2">
        <f t="shared" si="22"/>
        <v>682.28000000000009</v>
      </c>
      <c r="J769" s="2">
        <f t="shared" si="23"/>
        <v>3.7122803199303558</v>
      </c>
    </row>
    <row r="770" spans="1:10" x14ac:dyDescent="0.3">
      <c r="A770" s="1">
        <v>45387</v>
      </c>
      <c r="B770">
        <v>1377.91</v>
      </c>
      <c r="C770">
        <v>302.41000000000003</v>
      </c>
      <c r="D770">
        <v>2</v>
      </c>
      <c r="E770" s="2" t="s">
        <v>16</v>
      </c>
      <c r="F770" s="2" t="s">
        <v>9</v>
      </c>
      <c r="G770" s="2" t="s">
        <v>14</v>
      </c>
      <c r="H770" s="2" t="s">
        <v>20</v>
      </c>
      <c r="I770" s="2">
        <f t="shared" ref="I770:I833" si="24">B770-C770</f>
        <v>1075.5</v>
      </c>
      <c r="J770" s="2">
        <f t="shared" ref="J770:J833" si="25">IF(C770=0,0,I770/C770)</f>
        <v>3.5564300122350447</v>
      </c>
    </row>
    <row r="771" spans="1:10" x14ac:dyDescent="0.3">
      <c r="A771" s="1">
        <v>45363</v>
      </c>
      <c r="B771">
        <v>861.51</v>
      </c>
      <c r="C771">
        <v>20.74</v>
      </c>
      <c r="D771">
        <v>2</v>
      </c>
      <c r="E771" s="2" t="s">
        <v>13</v>
      </c>
      <c r="F771" s="2" t="s">
        <v>17</v>
      </c>
      <c r="G771" s="2" t="s">
        <v>19</v>
      </c>
      <c r="H771" s="2" t="s">
        <v>15</v>
      </c>
      <c r="I771" s="2">
        <f t="shared" si="24"/>
        <v>840.77</v>
      </c>
      <c r="J771" s="2">
        <f t="shared" si="25"/>
        <v>40.538572806171651</v>
      </c>
    </row>
    <row r="772" spans="1:10" x14ac:dyDescent="0.3">
      <c r="A772" s="1">
        <v>45366</v>
      </c>
      <c r="B772">
        <v>1057.02</v>
      </c>
      <c r="C772">
        <v>91.99</v>
      </c>
      <c r="D772">
        <v>4</v>
      </c>
      <c r="E772" s="2" t="s">
        <v>16</v>
      </c>
      <c r="F772" s="2" t="s">
        <v>17</v>
      </c>
      <c r="G772" s="2" t="s">
        <v>10</v>
      </c>
      <c r="H772" s="2" t="s">
        <v>20</v>
      </c>
      <c r="I772" s="2">
        <f t="shared" si="24"/>
        <v>965.03</v>
      </c>
      <c r="J772" s="2">
        <f t="shared" si="25"/>
        <v>10.490596804000434</v>
      </c>
    </row>
    <row r="773" spans="1:10" x14ac:dyDescent="0.3">
      <c r="A773" s="1">
        <v>45401</v>
      </c>
      <c r="B773">
        <v>945.68</v>
      </c>
      <c r="C773">
        <v>257.92</v>
      </c>
      <c r="D773">
        <v>7</v>
      </c>
      <c r="E773" s="2" t="s">
        <v>8</v>
      </c>
      <c r="F773" s="2" t="s">
        <v>17</v>
      </c>
      <c r="G773" s="2" t="s">
        <v>12</v>
      </c>
      <c r="H773" s="2" t="s">
        <v>11</v>
      </c>
      <c r="I773" s="2">
        <f t="shared" si="24"/>
        <v>687.76</v>
      </c>
      <c r="J773" s="2">
        <f t="shared" si="25"/>
        <v>2.666563275434243</v>
      </c>
    </row>
    <row r="774" spans="1:10" x14ac:dyDescent="0.3">
      <c r="A774" s="1">
        <v>45334</v>
      </c>
      <c r="B774">
        <v>1084.49</v>
      </c>
      <c r="C774">
        <v>87.22</v>
      </c>
      <c r="D774">
        <v>6</v>
      </c>
      <c r="E774" s="2" t="s">
        <v>13</v>
      </c>
      <c r="F774" s="2" t="s">
        <v>17</v>
      </c>
      <c r="G774" s="2" t="s">
        <v>12</v>
      </c>
      <c r="H774" s="2" t="s">
        <v>18</v>
      </c>
      <c r="I774" s="2">
        <f t="shared" si="24"/>
        <v>997.27</v>
      </c>
      <c r="J774" s="2">
        <f t="shared" si="25"/>
        <v>11.433960100894291</v>
      </c>
    </row>
    <row r="775" spans="1:10" x14ac:dyDescent="0.3">
      <c r="A775" s="1">
        <v>45322</v>
      </c>
      <c r="B775">
        <v>275.85000000000002</v>
      </c>
      <c r="C775">
        <v>380.1</v>
      </c>
      <c r="D775">
        <v>0</v>
      </c>
      <c r="E775" s="2" t="s">
        <v>13</v>
      </c>
      <c r="F775" s="2" t="s">
        <v>9</v>
      </c>
      <c r="G775" s="2" t="s">
        <v>19</v>
      </c>
      <c r="H775" s="2" t="s">
        <v>20</v>
      </c>
      <c r="I775" s="2">
        <f t="shared" si="24"/>
        <v>-104.25</v>
      </c>
      <c r="J775" s="2">
        <f t="shared" si="25"/>
        <v>-0.27426992896606156</v>
      </c>
    </row>
    <row r="776" spans="1:10" x14ac:dyDescent="0.3">
      <c r="A776" s="1">
        <v>45403</v>
      </c>
      <c r="B776">
        <v>789.5</v>
      </c>
      <c r="C776">
        <v>99.98</v>
      </c>
      <c r="D776">
        <v>0</v>
      </c>
      <c r="E776" s="2" t="s">
        <v>8</v>
      </c>
      <c r="F776" s="2" t="s">
        <v>17</v>
      </c>
      <c r="G776" s="2" t="s">
        <v>19</v>
      </c>
      <c r="H776" s="2" t="s">
        <v>20</v>
      </c>
      <c r="I776" s="2">
        <f t="shared" si="24"/>
        <v>689.52</v>
      </c>
      <c r="J776" s="2">
        <f t="shared" si="25"/>
        <v>6.8965793158631721</v>
      </c>
    </row>
    <row r="777" spans="1:10" x14ac:dyDescent="0.3">
      <c r="A777" s="1">
        <v>45377</v>
      </c>
      <c r="B777">
        <v>421.25</v>
      </c>
      <c r="C777">
        <v>53.29</v>
      </c>
      <c r="D777">
        <v>7</v>
      </c>
      <c r="E777" s="2" t="s">
        <v>13</v>
      </c>
      <c r="F777" s="2" t="s">
        <v>17</v>
      </c>
      <c r="G777" s="2" t="s">
        <v>12</v>
      </c>
      <c r="H777" s="2" t="s">
        <v>18</v>
      </c>
      <c r="I777" s="2">
        <f t="shared" si="24"/>
        <v>367.96</v>
      </c>
      <c r="J777" s="2">
        <f t="shared" si="25"/>
        <v>6.9048601989116154</v>
      </c>
    </row>
    <row r="778" spans="1:10" x14ac:dyDescent="0.3">
      <c r="A778" s="1">
        <v>45339</v>
      </c>
      <c r="B778">
        <v>629.74</v>
      </c>
      <c r="C778">
        <v>233.07</v>
      </c>
      <c r="D778">
        <v>2</v>
      </c>
      <c r="E778" s="2" t="s">
        <v>13</v>
      </c>
      <c r="F778" s="2" t="s">
        <v>9</v>
      </c>
      <c r="G778" s="2" t="s">
        <v>19</v>
      </c>
      <c r="H778" s="2" t="s">
        <v>11</v>
      </c>
      <c r="I778" s="2">
        <f t="shared" si="24"/>
        <v>396.67</v>
      </c>
      <c r="J778" s="2">
        <f t="shared" si="25"/>
        <v>1.7019350409748146</v>
      </c>
    </row>
    <row r="779" spans="1:10" x14ac:dyDescent="0.3">
      <c r="A779" s="1">
        <v>45385</v>
      </c>
      <c r="B779">
        <v>510.96</v>
      </c>
      <c r="C779">
        <v>52.51</v>
      </c>
      <c r="D779">
        <v>2</v>
      </c>
      <c r="E779" s="2" t="s">
        <v>16</v>
      </c>
      <c r="F779" s="2" t="s">
        <v>9</v>
      </c>
      <c r="G779" s="2" t="s">
        <v>10</v>
      </c>
      <c r="H779" s="2" t="s">
        <v>20</v>
      </c>
      <c r="I779" s="2">
        <f t="shared" si="24"/>
        <v>458.45</v>
      </c>
      <c r="J779" s="2">
        <f t="shared" si="25"/>
        <v>8.7307179584840977</v>
      </c>
    </row>
    <row r="780" spans="1:10" x14ac:dyDescent="0.3">
      <c r="A780" s="1">
        <v>45383</v>
      </c>
      <c r="B780">
        <v>152.19</v>
      </c>
      <c r="C780">
        <v>289.38</v>
      </c>
      <c r="D780">
        <v>4</v>
      </c>
      <c r="E780" s="2" t="s">
        <v>13</v>
      </c>
      <c r="F780" s="2" t="s">
        <v>9</v>
      </c>
      <c r="G780" s="2" t="s">
        <v>10</v>
      </c>
      <c r="H780" s="2" t="s">
        <v>11</v>
      </c>
      <c r="I780" s="2">
        <f t="shared" si="24"/>
        <v>-137.19</v>
      </c>
      <c r="J780" s="2">
        <f t="shared" si="25"/>
        <v>-0.47408252125233258</v>
      </c>
    </row>
    <row r="781" spans="1:10" x14ac:dyDescent="0.3">
      <c r="A781" s="1">
        <v>45382</v>
      </c>
      <c r="B781">
        <v>207.99</v>
      </c>
      <c r="C781">
        <v>408.7</v>
      </c>
      <c r="D781">
        <v>9</v>
      </c>
      <c r="E781" s="2" t="s">
        <v>13</v>
      </c>
      <c r="F781" s="2" t="s">
        <v>9</v>
      </c>
      <c r="G781" s="2" t="s">
        <v>19</v>
      </c>
      <c r="H781" s="2" t="s">
        <v>15</v>
      </c>
      <c r="I781" s="2">
        <f t="shared" si="24"/>
        <v>-200.70999999999998</v>
      </c>
      <c r="J781" s="2">
        <f t="shared" si="25"/>
        <v>-0.49109371176902372</v>
      </c>
    </row>
    <row r="782" spans="1:10" x14ac:dyDescent="0.3">
      <c r="A782" s="1">
        <v>45375</v>
      </c>
      <c r="B782">
        <v>1357.41</v>
      </c>
      <c r="C782">
        <v>146.99</v>
      </c>
      <c r="D782">
        <v>0</v>
      </c>
      <c r="E782" s="2" t="s">
        <v>16</v>
      </c>
      <c r="F782" s="2" t="s">
        <v>9</v>
      </c>
      <c r="G782" s="2" t="s">
        <v>10</v>
      </c>
      <c r="H782" s="2" t="s">
        <v>11</v>
      </c>
      <c r="I782" s="2">
        <f t="shared" si="24"/>
        <v>1210.42</v>
      </c>
      <c r="J782" s="2">
        <f t="shared" si="25"/>
        <v>8.2347098442070887</v>
      </c>
    </row>
    <row r="783" spans="1:10" x14ac:dyDescent="0.3">
      <c r="A783" s="1">
        <v>45369</v>
      </c>
      <c r="B783">
        <v>761.89</v>
      </c>
      <c r="C783">
        <v>46.34</v>
      </c>
      <c r="D783">
        <v>0</v>
      </c>
      <c r="E783" s="2" t="s">
        <v>16</v>
      </c>
      <c r="F783" s="2" t="s">
        <v>17</v>
      </c>
      <c r="G783" s="2" t="s">
        <v>10</v>
      </c>
      <c r="H783" s="2" t="s">
        <v>20</v>
      </c>
      <c r="I783" s="2">
        <f t="shared" si="24"/>
        <v>715.55</v>
      </c>
      <c r="J783" s="2">
        <f t="shared" si="25"/>
        <v>15.441303409581353</v>
      </c>
    </row>
    <row r="784" spans="1:10" x14ac:dyDescent="0.3">
      <c r="A784" s="1">
        <v>45385</v>
      </c>
      <c r="B784">
        <v>332.76</v>
      </c>
      <c r="C784">
        <v>493.78</v>
      </c>
      <c r="D784">
        <v>9</v>
      </c>
      <c r="E784" s="2" t="s">
        <v>16</v>
      </c>
      <c r="F784" s="2" t="s">
        <v>9</v>
      </c>
      <c r="G784" s="2" t="s">
        <v>14</v>
      </c>
      <c r="H784" s="2" t="s">
        <v>18</v>
      </c>
      <c r="I784" s="2">
        <f t="shared" si="24"/>
        <v>-161.01999999999998</v>
      </c>
      <c r="J784" s="2">
        <f t="shared" si="25"/>
        <v>-0.32609664222933288</v>
      </c>
    </row>
    <row r="785" spans="1:10" x14ac:dyDescent="0.3">
      <c r="A785" s="1">
        <v>45294</v>
      </c>
      <c r="B785">
        <v>917.08</v>
      </c>
      <c r="C785">
        <v>244.03</v>
      </c>
      <c r="D785">
        <v>10</v>
      </c>
      <c r="E785" s="2" t="s">
        <v>8</v>
      </c>
      <c r="F785" s="2" t="s">
        <v>17</v>
      </c>
      <c r="G785" s="2" t="s">
        <v>14</v>
      </c>
      <c r="H785" s="2" t="s">
        <v>11</v>
      </c>
      <c r="I785" s="2">
        <f t="shared" si="24"/>
        <v>673.05000000000007</v>
      </c>
      <c r="J785" s="2">
        <f t="shared" si="25"/>
        <v>2.758062533295087</v>
      </c>
    </row>
    <row r="786" spans="1:10" x14ac:dyDescent="0.3">
      <c r="A786" s="1">
        <v>45334</v>
      </c>
      <c r="B786">
        <v>221.44</v>
      </c>
      <c r="C786">
        <v>242.45</v>
      </c>
      <c r="D786">
        <v>0</v>
      </c>
      <c r="E786" s="2" t="s">
        <v>16</v>
      </c>
      <c r="F786" s="2" t="s">
        <v>17</v>
      </c>
      <c r="G786" s="2" t="s">
        <v>14</v>
      </c>
      <c r="H786" s="2" t="s">
        <v>18</v>
      </c>
      <c r="I786" s="2">
        <f t="shared" si="24"/>
        <v>-21.009999999999991</v>
      </c>
      <c r="J786" s="2">
        <f t="shared" si="25"/>
        <v>-8.6657042689214231E-2</v>
      </c>
    </row>
    <row r="787" spans="1:10" x14ac:dyDescent="0.3">
      <c r="A787" s="1">
        <v>45367</v>
      </c>
      <c r="B787">
        <v>134</v>
      </c>
      <c r="C787">
        <v>171.81</v>
      </c>
      <c r="D787">
        <v>4</v>
      </c>
      <c r="E787" s="2" t="s">
        <v>16</v>
      </c>
      <c r="F787" s="2" t="s">
        <v>9</v>
      </c>
      <c r="G787" s="2" t="s">
        <v>10</v>
      </c>
      <c r="H787" s="2" t="s">
        <v>20</v>
      </c>
      <c r="I787" s="2">
        <f t="shared" si="24"/>
        <v>-37.81</v>
      </c>
      <c r="J787" s="2">
        <f t="shared" si="25"/>
        <v>-0.22006868051917816</v>
      </c>
    </row>
    <row r="788" spans="1:10" x14ac:dyDescent="0.3">
      <c r="A788" s="1">
        <v>45400</v>
      </c>
      <c r="B788">
        <v>925.27</v>
      </c>
      <c r="C788">
        <v>482.71</v>
      </c>
      <c r="D788">
        <v>4</v>
      </c>
      <c r="E788" s="2" t="s">
        <v>16</v>
      </c>
      <c r="F788" s="2" t="s">
        <v>17</v>
      </c>
      <c r="G788" s="2" t="s">
        <v>14</v>
      </c>
      <c r="H788" s="2" t="s">
        <v>20</v>
      </c>
      <c r="I788" s="2">
        <f t="shared" si="24"/>
        <v>442.56</v>
      </c>
      <c r="J788" s="2">
        <f t="shared" si="25"/>
        <v>0.91682376582212932</v>
      </c>
    </row>
    <row r="789" spans="1:10" x14ac:dyDescent="0.3">
      <c r="A789" s="1">
        <v>45409</v>
      </c>
      <c r="B789">
        <v>140.87</v>
      </c>
      <c r="C789">
        <v>211.52</v>
      </c>
      <c r="D789">
        <v>7</v>
      </c>
      <c r="E789" s="2" t="s">
        <v>8</v>
      </c>
      <c r="F789" s="2" t="s">
        <v>9</v>
      </c>
      <c r="G789" s="2" t="s">
        <v>12</v>
      </c>
      <c r="H789" s="2" t="s">
        <v>20</v>
      </c>
      <c r="I789" s="2">
        <f t="shared" si="24"/>
        <v>-70.650000000000006</v>
      </c>
      <c r="J789" s="2">
        <f t="shared" si="25"/>
        <v>-0.33401096822995463</v>
      </c>
    </row>
    <row r="790" spans="1:10" x14ac:dyDescent="0.3">
      <c r="A790" s="1">
        <v>45311</v>
      </c>
      <c r="B790">
        <v>1375.51</v>
      </c>
      <c r="C790">
        <v>390.23</v>
      </c>
      <c r="D790">
        <v>5</v>
      </c>
      <c r="E790" s="2" t="s">
        <v>8</v>
      </c>
      <c r="F790" s="2" t="s">
        <v>17</v>
      </c>
      <c r="G790" s="2" t="s">
        <v>12</v>
      </c>
      <c r="H790" s="2" t="s">
        <v>15</v>
      </c>
      <c r="I790" s="2">
        <f t="shared" si="24"/>
        <v>985.28</v>
      </c>
      <c r="J790" s="2">
        <f t="shared" si="25"/>
        <v>2.524869948491915</v>
      </c>
    </row>
    <row r="791" spans="1:10" x14ac:dyDescent="0.3">
      <c r="A791" s="1">
        <v>45320</v>
      </c>
      <c r="B791">
        <v>175.53</v>
      </c>
      <c r="C791">
        <v>82.89</v>
      </c>
      <c r="D791">
        <v>8</v>
      </c>
      <c r="E791" s="2" t="s">
        <v>16</v>
      </c>
      <c r="F791" s="2" t="s">
        <v>17</v>
      </c>
      <c r="G791" s="2" t="s">
        <v>10</v>
      </c>
      <c r="H791" s="2" t="s">
        <v>15</v>
      </c>
      <c r="I791" s="2">
        <f t="shared" si="24"/>
        <v>92.64</v>
      </c>
      <c r="J791" s="2">
        <f t="shared" si="25"/>
        <v>1.1176257690915672</v>
      </c>
    </row>
    <row r="792" spans="1:10" x14ac:dyDescent="0.3">
      <c r="A792" s="1">
        <v>45358</v>
      </c>
      <c r="B792">
        <v>916.89</v>
      </c>
      <c r="C792">
        <v>471.67</v>
      </c>
      <c r="D792">
        <v>7</v>
      </c>
      <c r="E792" s="2" t="s">
        <v>16</v>
      </c>
      <c r="F792" s="2" t="s">
        <v>9</v>
      </c>
      <c r="G792" s="2" t="s">
        <v>14</v>
      </c>
      <c r="H792" s="2" t="s">
        <v>20</v>
      </c>
      <c r="I792" s="2">
        <f t="shared" si="24"/>
        <v>445.21999999999997</v>
      </c>
      <c r="J792" s="2">
        <f t="shared" si="25"/>
        <v>0.94392265779040418</v>
      </c>
    </row>
    <row r="793" spans="1:10" x14ac:dyDescent="0.3">
      <c r="A793" s="1">
        <v>45330</v>
      </c>
      <c r="B793">
        <v>389.28</v>
      </c>
      <c r="C793">
        <v>84.13</v>
      </c>
      <c r="D793">
        <v>5</v>
      </c>
      <c r="E793" s="2" t="s">
        <v>8</v>
      </c>
      <c r="F793" s="2" t="s">
        <v>17</v>
      </c>
      <c r="G793" s="2" t="s">
        <v>14</v>
      </c>
      <c r="H793" s="2" t="s">
        <v>15</v>
      </c>
      <c r="I793" s="2">
        <f t="shared" si="24"/>
        <v>305.14999999999998</v>
      </c>
      <c r="J793" s="2">
        <f t="shared" si="25"/>
        <v>3.6271246879828833</v>
      </c>
    </row>
    <row r="794" spans="1:10" x14ac:dyDescent="0.3">
      <c r="A794" s="1">
        <v>45337</v>
      </c>
      <c r="B794">
        <v>1116.74</v>
      </c>
      <c r="C794">
        <v>275.14</v>
      </c>
      <c r="D794">
        <v>1</v>
      </c>
      <c r="E794" s="2" t="s">
        <v>13</v>
      </c>
      <c r="F794" s="2" t="s">
        <v>17</v>
      </c>
      <c r="G794" s="2" t="s">
        <v>12</v>
      </c>
      <c r="H794" s="2" t="s">
        <v>18</v>
      </c>
      <c r="I794" s="2">
        <f t="shared" si="24"/>
        <v>841.6</v>
      </c>
      <c r="J794" s="2">
        <f t="shared" si="25"/>
        <v>3.0588064258195828</v>
      </c>
    </row>
    <row r="795" spans="1:10" x14ac:dyDescent="0.3">
      <c r="A795" s="1">
        <v>45364</v>
      </c>
      <c r="B795">
        <v>233.95</v>
      </c>
      <c r="C795">
        <v>209.52</v>
      </c>
      <c r="D795">
        <v>8</v>
      </c>
      <c r="E795" s="2" t="s">
        <v>13</v>
      </c>
      <c r="F795" s="2" t="s">
        <v>17</v>
      </c>
      <c r="G795" s="2" t="s">
        <v>10</v>
      </c>
      <c r="H795" s="2" t="s">
        <v>15</v>
      </c>
      <c r="I795" s="2">
        <f t="shared" si="24"/>
        <v>24.429999999999978</v>
      </c>
      <c r="J795" s="2">
        <f t="shared" si="25"/>
        <v>0.11659984726995025</v>
      </c>
    </row>
    <row r="796" spans="1:10" x14ac:dyDescent="0.3">
      <c r="A796" s="1">
        <v>45390</v>
      </c>
      <c r="B796">
        <v>1125.3699999999999</v>
      </c>
      <c r="C796">
        <v>272.33</v>
      </c>
      <c r="D796">
        <v>10</v>
      </c>
      <c r="E796" s="2" t="s">
        <v>13</v>
      </c>
      <c r="F796" s="2" t="s">
        <v>17</v>
      </c>
      <c r="G796" s="2" t="s">
        <v>10</v>
      </c>
      <c r="H796" s="2" t="s">
        <v>11</v>
      </c>
      <c r="I796" s="2">
        <f t="shared" si="24"/>
        <v>853.04</v>
      </c>
      <c r="J796" s="2">
        <f t="shared" si="25"/>
        <v>3.1323761612749239</v>
      </c>
    </row>
    <row r="797" spans="1:10" x14ac:dyDescent="0.3">
      <c r="A797" s="1">
        <v>45310</v>
      </c>
      <c r="B797">
        <v>780.48</v>
      </c>
      <c r="C797">
        <v>244.82</v>
      </c>
      <c r="D797">
        <v>4</v>
      </c>
      <c r="E797" s="2" t="s">
        <v>16</v>
      </c>
      <c r="F797" s="2" t="s">
        <v>17</v>
      </c>
      <c r="G797" s="2" t="s">
        <v>19</v>
      </c>
      <c r="H797" s="2" t="s">
        <v>11</v>
      </c>
      <c r="I797" s="2">
        <f t="shared" si="24"/>
        <v>535.66000000000008</v>
      </c>
      <c r="J797" s="2">
        <f t="shared" si="25"/>
        <v>2.1879748386569728</v>
      </c>
    </row>
    <row r="798" spans="1:10" x14ac:dyDescent="0.3">
      <c r="A798" s="1">
        <v>45366</v>
      </c>
      <c r="B798">
        <v>729.99</v>
      </c>
      <c r="C798">
        <v>312.94</v>
      </c>
      <c r="D798">
        <v>8</v>
      </c>
      <c r="E798" s="2" t="s">
        <v>8</v>
      </c>
      <c r="F798" s="2" t="s">
        <v>17</v>
      </c>
      <c r="G798" s="2" t="s">
        <v>10</v>
      </c>
      <c r="H798" s="2" t="s">
        <v>11</v>
      </c>
      <c r="I798" s="2">
        <f t="shared" si="24"/>
        <v>417.05</v>
      </c>
      <c r="J798" s="2">
        <f t="shared" si="25"/>
        <v>1.3326835815172238</v>
      </c>
    </row>
    <row r="799" spans="1:10" x14ac:dyDescent="0.3">
      <c r="A799" s="1">
        <v>45383</v>
      </c>
      <c r="B799">
        <v>836.46</v>
      </c>
      <c r="C799">
        <v>480.45</v>
      </c>
      <c r="D799">
        <v>8</v>
      </c>
      <c r="E799" s="2" t="s">
        <v>8</v>
      </c>
      <c r="F799" s="2" t="s">
        <v>17</v>
      </c>
      <c r="G799" s="2" t="s">
        <v>10</v>
      </c>
      <c r="H799" s="2" t="s">
        <v>15</v>
      </c>
      <c r="I799" s="2">
        <f t="shared" si="24"/>
        <v>356.01000000000005</v>
      </c>
      <c r="J799" s="2">
        <f t="shared" si="25"/>
        <v>0.74099281923197013</v>
      </c>
    </row>
    <row r="800" spans="1:10" x14ac:dyDescent="0.3">
      <c r="A800" s="1">
        <v>45334</v>
      </c>
      <c r="B800">
        <v>127.67</v>
      </c>
      <c r="C800">
        <v>459.09</v>
      </c>
      <c r="D800">
        <v>4</v>
      </c>
      <c r="E800" s="2" t="s">
        <v>16</v>
      </c>
      <c r="F800" s="2" t="s">
        <v>17</v>
      </c>
      <c r="G800" s="2" t="s">
        <v>14</v>
      </c>
      <c r="H800" s="2" t="s">
        <v>11</v>
      </c>
      <c r="I800" s="2">
        <f t="shared" si="24"/>
        <v>-331.41999999999996</v>
      </c>
      <c r="J800" s="2">
        <f t="shared" si="25"/>
        <v>-0.72190638001263363</v>
      </c>
    </row>
    <row r="801" spans="1:10" x14ac:dyDescent="0.3">
      <c r="A801" s="1">
        <v>45308</v>
      </c>
      <c r="B801">
        <v>1329.21</v>
      </c>
      <c r="C801">
        <v>376.3</v>
      </c>
      <c r="D801">
        <v>7</v>
      </c>
      <c r="E801" s="2" t="s">
        <v>13</v>
      </c>
      <c r="F801" s="2" t="s">
        <v>17</v>
      </c>
      <c r="G801" s="2" t="s">
        <v>14</v>
      </c>
      <c r="H801" s="2" t="s">
        <v>20</v>
      </c>
      <c r="I801" s="2">
        <f t="shared" si="24"/>
        <v>952.91000000000008</v>
      </c>
      <c r="J801" s="2">
        <f t="shared" si="25"/>
        <v>2.5323146425724157</v>
      </c>
    </row>
    <row r="802" spans="1:10" x14ac:dyDescent="0.3">
      <c r="A802" s="1">
        <v>45377</v>
      </c>
      <c r="B802">
        <v>377.71</v>
      </c>
      <c r="C802">
        <v>73.16</v>
      </c>
      <c r="D802">
        <v>7</v>
      </c>
      <c r="E802" s="2" t="s">
        <v>8</v>
      </c>
      <c r="F802" s="2" t="s">
        <v>17</v>
      </c>
      <c r="G802" s="2" t="s">
        <v>12</v>
      </c>
      <c r="H802" s="2" t="s">
        <v>11</v>
      </c>
      <c r="I802" s="2">
        <f t="shared" si="24"/>
        <v>304.54999999999995</v>
      </c>
      <c r="J802" s="2">
        <f t="shared" si="25"/>
        <v>4.1627938764352104</v>
      </c>
    </row>
    <row r="803" spans="1:10" x14ac:dyDescent="0.3">
      <c r="A803" s="1">
        <v>45346</v>
      </c>
      <c r="B803">
        <v>1433.2</v>
      </c>
      <c r="C803">
        <v>163.32</v>
      </c>
      <c r="D803">
        <v>1</v>
      </c>
      <c r="E803" s="2" t="s">
        <v>13</v>
      </c>
      <c r="F803" s="2" t="s">
        <v>9</v>
      </c>
      <c r="G803" s="2" t="s">
        <v>10</v>
      </c>
      <c r="H803" s="2" t="s">
        <v>15</v>
      </c>
      <c r="I803" s="2">
        <f t="shared" si="24"/>
        <v>1269.8800000000001</v>
      </c>
      <c r="J803" s="2">
        <f t="shared" si="25"/>
        <v>7.7754102375704148</v>
      </c>
    </row>
    <row r="804" spans="1:10" x14ac:dyDescent="0.3">
      <c r="A804" s="1">
        <v>45364</v>
      </c>
      <c r="B804">
        <v>1293.81</v>
      </c>
      <c r="C804">
        <v>408.39</v>
      </c>
      <c r="D804">
        <v>0</v>
      </c>
      <c r="E804" s="2" t="s">
        <v>13</v>
      </c>
      <c r="F804" s="2" t="s">
        <v>9</v>
      </c>
      <c r="G804" s="2" t="s">
        <v>14</v>
      </c>
      <c r="H804" s="2" t="s">
        <v>20</v>
      </c>
      <c r="I804" s="2">
        <f t="shared" si="24"/>
        <v>885.42</v>
      </c>
      <c r="J804" s="2">
        <f t="shared" si="25"/>
        <v>2.1680746345405129</v>
      </c>
    </row>
    <row r="805" spans="1:10" x14ac:dyDescent="0.3">
      <c r="A805" s="1">
        <v>45411</v>
      </c>
      <c r="B805">
        <v>669.73</v>
      </c>
      <c r="C805">
        <v>488.52</v>
      </c>
      <c r="D805">
        <v>6</v>
      </c>
      <c r="E805" s="2" t="s">
        <v>8</v>
      </c>
      <c r="F805" s="2" t="s">
        <v>9</v>
      </c>
      <c r="G805" s="2" t="s">
        <v>14</v>
      </c>
      <c r="H805" s="2" t="s">
        <v>18</v>
      </c>
      <c r="I805" s="2">
        <f t="shared" si="24"/>
        <v>181.21000000000004</v>
      </c>
      <c r="J805" s="2">
        <f t="shared" si="25"/>
        <v>0.37093670678784912</v>
      </c>
    </row>
    <row r="806" spans="1:10" x14ac:dyDescent="0.3">
      <c r="A806" s="1">
        <v>45410</v>
      </c>
      <c r="B806">
        <v>662.94</v>
      </c>
      <c r="C806">
        <v>178.7</v>
      </c>
      <c r="D806">
        <v>10</v>
      </c>
      <c r="E806" s="2" t="s">
        <v>16</v>
      </c>
      <c r="F806" s="2" t="s">
        <v>9</v>
      </c>
      <c r="G806" s="2" t="s">
        <v>12</v>
      </c>
      <c r="H806" s="2" t="s">
        <v>20</v>
      </c>
      <c r="I806" s="2">
        <f t="shared" si="24"/>
        <v>484.24000000000007</v>
      </c>
      <c r="J806" s="2">
        <f t="shared" si="25"/>
        <v>2.7097929490766655</v>
      </c>
    </row>
    <row r="807" spans="1:10" x14ac:dyDescent="0.3">
      <c r="A807" s="1">
        <v>45367</v>
      </c>
      <c r="B807">
        <v>1432.41</v>
      </c>
      <c r="C807">
        <v>316.67</v>
      </c>
      <c r="D807">
        <v>5</v>
      </c>
      <c r="E807" s="2" t="s">
        <v>16</v>
      </c>
      <c r="F807" s="2" t="s">
        <v>17</v>
      </c>
      <c r="G807" s="2" t="s">
        <v>14</v>
      </c>
      <c r="H807" s="2" t="s">
        <v>11</v>
      </c>
      <c r="I807" s="2">
        <f t="shared" si="24"/>
        <v>1115.74</v>
      </c>
      <c r="J807" s="2">
        <f t="shared" si="25"/>
        <v>3.5233523857643601</v>
      </c>
    </row>
    <row r="808" spans="1:10" x14ac:dyDescent="0.3">
      <c r="A808" s="1">
        <v>45321</v>
      </c>
      <c r="B808">
        <v>1441.96</v>
      </c>
      <c r="C808">
        <v>459.07</v>
      </c>
      <c r="D808">
        <v>1</v>
      </c>
      <c r="E808" s="2" t="s">
        <v>13</v>
      </c>
      <c r="F808" s="2" t="s">
        <v>17</v>
      </c>
      <c r="G808" s="2" t="s">
        <v>19</v>
      </c>
      <c r="H808" s="2" t="s">
        <v>20</v>
      </c>
      <c r="I808" s="2">
        <f t="shared" si="24"/>
        <v>982.8900000000001</v>
      </c>
      <c r="J808" s="2">
        <f t="shared" si="25"/>
        <v>2.1410460278388919</v>
      </c>
    </row>
    <row r="809" spans="1:10" x14ac:dyDescent="0.3">
      <c r="A809" s="1">
        <v>45338</v>
      </c>
      <c r="B809">
        <v>1436.82</v>
      </c>
      <c r="C809">
        <v>168.63</v>
      </c>
      <c r="D809">
        <v>6</v>
      </c>
      <c r="E809" s="2" t="s">
        <v>13</v>
      </c>
      <c r="F809" s="2" t="s">
        <v>9</v>
      </c>
      <c r="G809" s="2" t="s">
        <v>19</v>
      </c>
      <c r="H809" s="2" t="s">
        <v>15</v>
      </c>
      <c r="I809" s="2">
        <f t="shared" si="24"/>
        <v>1268.19</v>
      </c>
      <c r="J809" s="2">
        <f t="shared" si="25"/>
        <v>7.5205479452054798</v>
      </c>
    </row>
    <row r="810" spans="1:10" x14ac:dyDescent="0.3">
      <c r="A810" s="1">
        <v>45305</v>
      </c>
      <c r="B810">
        <v>990.12</v>
      </c>
      <c r="C810">
        <v>206.58</v>
      </c>
      <c r="D810">
        <v>1</v>
      </c>
      <c r="E810" s="2" t="s">
        <v>8</v>
      </c>
      <c r="F810" s="2" t="s">
        <v>17</v>
      </c>
      <c r="G810" s="2" t="s">
        <v>12</v>
      </c>
      <c r="H810" s="2" t="s">
        <v>11</v>
      </c>
      <c r="I810" s="2">
        <f t="shared" si="24"/>
        <v>783.54</v>
      </c>
      <c r="J810" s="2">
        <f t="shared" si="25"/>
        <v>3.7929131571304091</v>
      </c>
    </row>
    <row r="811" spans="1:10" x14ac:dyDescent="0.3">
      <c r="A811" s="1">
        <v>45374</v>
      </c>
      <c r="B811">
        <v>969.62</v>
      </c>
      <c r="C811">
        <v>402.92</v>
      </c>
      <c r="D811">
        <v>3</v>
      </c>
      <c r="E811" s="2" t="s">
        <v>13</v>
      </c>
      <c r="F811" s="2" t="s">
        <v>17</v>
      </c>
      <c r="G811" s="2" t="s">
        <v>19</v>
      </c>
      <c r="H811" s="2" t="s">
        <v>18</v>
      </c>
      <c r="I811" s="2">
        <f t="shared" si="24"/>
        <v>566.70000000000005</v>
      </c>
      <c r="J811" s="2">
        <f t="shared" si="25"/>
        <v>1.4064826764618288</v>
      </c>
    </row>
    <row r="812" spans="1:10" x14ac:dyDescent="0.3">
      <c r="A812" s="1">
        <v>45377</v>
      </c>
      <c r="B812">
        <v>107.63</v>
      </c>
      <c r="C812">
        <v>52.68</v>
      </c>
      <c r="D812">
        <v>8</v>
      </c>
      <c r="E812" s="2" t="s">
        <v>13</v>
      </c>
      <c r="F812" s="2" t="s">
        <v>9</v>
      </c>
      <c r="G812" s="2" t="s">
        <v>14</v>
      </c>
      <c r="H812" s="2" t="s">
        <v>20</v>
      </c>
      <c r="I812" s="2">
        <f t="shared" si="24"/>
        <v>54.949999999999996</v>
      </c>
      <c r="J812" s="2">
        <f t="shared" si="25"/>
        <v>1.0430903568716781</v>
      </c>
    </row>
    <row r="813" spans="1:10" x14ac:dyDescent="0.3">
      <c r="A813" s="1">
        <v>45372</v>
      </c>
      <c r="B813">
        <v>239.1</v>
      </c>
      <c r="C813">
        <v>45.92</v>
      </c>
      <c r="D813">
        <v>3</v>
      </c>
      <c r="E813" s="2" t="s">
        <v>13</v>
      </c>
      <c r="F813" s="2" t="s">
        <v>17</v>
      </c>
      <c r="G813" s="2" t="s">
        <v>14</v>
      </c>
      <c r="H813" s="2" t="s">
        <v>18</v>
      </c>
      <c r="I813" s="2">
        <f t="shared" si="24"/>
        <v>193.18</v>
      </c>
      <c r="J813" s="2">
        <f t="shared" si="25"/>
        <v>4.2068815331010452</v>
      </c>
    </row>
    <row r="814" spans="1:10" x14ac:dyDescent="0.3">
      <c r="A814" s="1">
        <v>45324</v>
      </c>
      <c r="B814">
        <v>283.11</v>
      </c>
      <c r="C814">
        <v>33.43</v>
      </c>
      <c r="D814">
        <v>0</v>
      </c>
      <c r="E814" s="2" t="s">
        <v>13</v>
      </c>
      <c r="F814" s="2" t="s">
        <v>9</v>
      </c>
      <c r="G814" s="2" t="s">
        <v>19</v>
      </c>
      <c r="H814" s="2" t="s">
        <v>18</v>
      </c>
      <c r="I814" s="2">
        <f t="shared" si="24"/>
        <v>249.68</v>
      </c>
      <c r="J814" s="2">
        <f t="shared" si="25"/>
        <v>7.4687406521088846</v>
      </c>
    </row>
    <row r="815" spans="1:10" x14ac:dyDescent="0.3">
      <c r="A815" s="1">
        <v>45363</v>
      </c>
      <c r="B815">
        <v>329.24</v>
      </c>
      <c r="C815">
        <v>223.23</v>
      </c>
      <c r="D815">
        <v>4</v>
      </c>
      <c r="E815" s="2" t="s">
        <v>13</v>
      </c>
      <c r="F815" s="2" t="s">
        <v>17</v>
      </c>
      <c r="G815" s="2" t="s">
        <v>19</v>
      </c>
      <c r="H815" s="2" t="s">
        <v>15</v>
      </c>
      <c r="I815" s="2">
        <f t="shared" si="24"/>
        <v>106.01000000000002</v>
      </c>
      <c r="J815" s="2">
        <f t="shared" si="25"/>
        <v>0.47489136764771772</v>
      </c>
    </row>
    <row r="816" spans="1:10" x14ac:dyDescent="0.3">
      <c r="A816" s="1">
        <v>45335</v>
      </c>
      <c r="B816">
        <v>792.46</v>
      </c>
      <c r="C816">
        <v>176.31</v>
      </c>
      <c r="D816">
        <v>4</v>
      </c>
      <c r="E816" s="2" t="s">
        <v>16</v>
      </c>
      <c r="F816" s="2" t="s">
        <v>9</v>
      </c>
      <c r="G816" s="2" t="s">
        <v>14</v>
      </c>
      <c r="H816" s="2" t="s">
        <v>18</v>
      </c>
      <c r="I816" s="2">
        <f t="shared" si="24"/>
        <v>616.15000000000009</v>
      </c>
      <c r="J816" s="2">
        <f t="shared" si="25"/>
        <v>3.4946968407917876</v>
      </c>
    </row>
    <row r="817" spans="1:10" x14ac:dyDescent="0.3">
      <c r="A817" s="1">
        <v>45301</v>
      </c>
      <c r="B817">
        <v>1044.75</v>
      </c>
      <c r="C817">
        <v>51.2</v>
      </c>
      <c r="D817">
        <v>3</v>
      </c>
      <c r="E817" s="2" t="s">
        <v>13</v>
      </c>
      <c r="F817" s="2" t="s">
        <v>17</v>
      </c>
      <c r="G817" s="2" t="s">
        <v>10</v>
      </c>
      <c r="H817" s="2" t="s">
        <v>15</v>
      </c>
      <c r="I817" s="2">
        <f t="shared" si="24"/>
        <v>993.55</v>
      </c>
      <c r="J817" s="2">
        <f t="shared" si="25"/>
        <v>19.405273437499996</v>
      </c>
    </row>
    <row r="818" spans="1:10" x14ac:dyDescent="0.3">
      <c r="A818" s="1">
        <v>45293</v>
      </c>
      <c r="B818">
        <v>1247.0999999999999</v>
      </c>
      <c r="C818">
        <v>164.26</v>
      </c>
      <c r="D818">
        <v>5</v>
      </c>
      <c r="E818" s="2" t="s">
        <v>16</v>
      </c>
      <c r="F818" s="2" t="s">
        <v>17</v>
      </c>
      <c r="G818" s="2" t="s">
        <v>10</v>
      </c>
      <c r="H818" s="2" t="s">
        <v>15</v>
      </c>
      <c r="I818" s="2">
        <f t="shared" si="24"/>
        <v>1082.8399999999999</v>
      </c>
      <c r="J818" s="2">
        <f t="shared" si="25"/>
        <v>6.592231827590405</v>
      </c>
    </row>
    <row r="819" spans="1:10" x14ac:dyDescent="0.3">
      <c r="A819" s="1">
        <v>45299</v>
      </c>
      <c r="B819">
        <v>1031.3900000000001</v>
      </c>
      <c r="C819">
        <v>342.29</v>
      </c>
      <c r="D819">
        <v>7</v>
      </c>
      <c r="E819" s="2" t="s">
        <v>13</v>
      </c>
      <c r="F819" s="2" t="s">
        <v>17</v>
      </c>
      <c r="G819" s="2" t="s">
        <v>12</v>
      </c>
      <c r="H819" s="2" t="s">
        <v>18</v>
      </c>
      <c r="I819" s="2">
        <f t="shared" si="24"/>
        <v>689.10000000000014</v>
      </c>
      <c r="J819" s="2">
        <f t="shared" si="25"/>
        <v>2.0132051768967836</v>
      </c>
    </row>
    <row r="820" spans="1:10" x14ac:dyDescent="0.3">
      <c r="A820" s="1">
        <v>45404</v>
      </c>
      <c r="B820">
        <v>611.69000000000005</v>
      </c>
      <c r="C820">
        <v>349.08</v>
      </c>
      <c r="D820">
        <v>8</v>
      </c>
      <c r="E820" s="2" t="s">
        <v>8</v>
      </c>
      <c r="F820" s="2" t="s">
        <v>9</v>
      </c>
      <c r="G820" s="2" t="s">
        <v>10</v>
      </c>
      <c r="H820" s="2" t="s">
        <v>18</v>
      </c>
      <c r="I820" s="2">
        <f t="shared" si="24"/>
        <v>262.61000000000007</v>
      </c>
      <c r="J820" s="2">
        <f t="shared" si="25"/>
        <v>0.75229173828348828</v>
      </c>
    </row>
    <row r="821" spans="1:10" x14ac:dyDescent="0.3">
      <c r="A821" s="1">
        <v>45329</v>
      </c>
      <c r="B821">
        <v>547.15</v>
      </c>
      <c r="C821">
        <v>459.97</v>
      </c>
      <c r="D821">
        <v>0</v>
      </c>
      <c r="E821" s="2" t="s">
        <v>8</v>
      </c>
      <c r="F821" s="2" t="s">
        <v>17</v>
      </c>
      <c r="G821" s="2" t="s">
        <v>14</v>
      </c>
      <c r="H821" s="2" t="s">
        <v>11</v>
      </c>
      <c r="I821" s="2">
        <f t="shared" si="24"/>
        <v>87.17999999999995</v>
      </c>
      <c r="J821" s="2">
        <f t="shared" si="25"/>
        <v>0.18953410005000315</v>
      </c>
    </row>
    <row r="822" spans="1:10" x14ac:dyDescent="0.3">
      <c r="A822" s="1">
        <v>45409</v>
      </c>
      <c r="B822">
        <v>297.43</v>
      </c>
      <c r="C822">
        <v>54.75</v>
      </c>
      <c r="D822">
        <v>8</v>
      </c>
      <c r="E822" s="2" t="s">
        <v>8</v>
      </c>
      <c r="F822" s="2" t="s">
        <v>17</v>
      </c>
      <c r="G822" s="2" t="s">
        <v>12</v>
      </c>
      <c r="H822" s="2" t="s">
        <v>15</v>
      </c>
      <c r="I822" s="2">
        <f t="shared" si="24"/>
        <v>242.68</v>
      </c>
      <c r="J822" s="2">
        <f t="shared" si="25"/>
        <v>4.4325114155251146</v>
      </c>
    </row>
    <row r="823" spans="1:10" x14ac:dyDescent="0.3">
      <c r="A823" s="1">
        <v>45300</v>
      </c>
      <c r="B823">
        <v>1160.8499999999999</v>
      </c>
      <c r="C823">
        <v>452.53</v>
      </c>
      <c r="D823">
        <v>7</v>
      </c>
      <c r="E823" s="2" t="s">
        <v>16</v>
      </c>
      <c r="F823" s="2" t="s">
        <v>9</v>
      </c>
      <c r="G823" s="2" t="s">
        <v>12</v>
      </c>
      <c r="H823" s="2" t="s">
        <v>11</v>
      </c>
      <c r="I823" s="2">
        <f t="shared" si="24"/>
        <v>708.31999999999994</v>
      </c>
      <c r="J823" s="2">
        <f t="shared" si="25"/>
        <v>1.5652442931960311</v>
      </c>
    </row>
    <row r="824" spans="1:10" x14ac:dyDescent="0.3">
      <c r="A824" s="1">
        <v>45302</v>
      </c>
      <c r="B824">
        <v>90.97</v>
      </c>
      <c r="C824">
        <v>86.4</v>
      </c>
      <c r="D824">
        <v>4</v>
      </c>
      <c r="E824" s="2" t="s">
        <v>8</v>
      </c>
      <c r="F824" s="2" t="s">
        <v>17</v>
      </c>
      <c r="G824" s="2" t="s">
        <v>14</v>
      </c>
      <c r="H824" s="2" t="s">
        <v>18</v>
      </c>
      <c r="I824" s="2">
        <f t="shared" si="24"/>
        <v>4.5699999999999932</v>
      </c>
      <c r="J824" s="2">
        <f t="shared" si="25"/>
        <v>5.2893518518518437E-2</v>
      </c>
    </row>
    <row r="825" spans="1:10" x14ac:dyDescent="0.3">
      <c r="A825" s="1">
        <v>45401</v>
      </c>
      <c r="B825">
        <v>219.21</v>
      </c>
      <c r="C825">
        <v>322.49</v>
      </c>
      <c r="D825">
        <v>7</v>
      </c>
      <c r="E825" s="2" t="s">
        <v>13</v>
      </c>
      <c r="F825" s="2" t="s">
        <v>9</v>
      </c>
      <c r="G825" s="2" t="s">
        <v>10</v>
      </c>
      <c r="H825" s="2" t="s">
        <v>18</v>
      </c>
      <c r="I825" s="2">
        <f t="shared" si="24"/>
        <v>-103.28</v>
      </c>
      <c r="J825" s="2">
        <f t="shared" si="25"/>
        <v>-0.32025799249589132</v>
      </c>
    </row>
    <row r="826" spans="1:10" x14ac:dyDescent="0.3">
      <c r="A826" s="1">
        <v>45410</v>
      </c>
      <c r="B826">
        <v>474.57</v>
      </c>
      <c r="C826">
        <v>234.07</v>
      </c>
      <c r="D826">
        <v>5</v>
      </c>
      <c r="E826" s="2" t="s">
        <v>16</v>
      </c>
      <c r="F826" s="2" t="s">
        <v>9</v>
      </c>
      <c r="G826" s="2" t="s">
        <v>12</v>
      </c>
      <c r="H826" s="2" t="s">
        <v>15</v>
      </c>
      <c r="I826" s="2">
        <f t="shared" si="24"/>
        <v>240.5</v>
      </c>
      <c r="J826" s="2">
        <f t="shared" si="25"/>
        <v>1.0274704148331697</v>
      </c>
    </row>
    <row r="827" spans="1:10" x14ac:dyDescent="0.3">
      <c r="A827" s="1">
        <v>45403</v>
      </c>
      <c r="B827">
        <v>1260.55</v>
      </c>
      <c r="C827">
        <v>303.77</v>
      </c>
      <c r="D827">
        <v>8</v>
      </c>
      <c r="E827" s="2" t="s">
        <v>8</v>
      </c>
      <c r="F827" s="2" t="s">
        <v>17</v>
      </c>
      <c r="G827" s="2" t="s">
        <v>14</v>
      </c>
      <c r="H827" s="2" t="s">
        <v>18</v>
      </c>
      <c r="I827" s="2">
        <f t="shared" si="24"/>
        <v>956.78</v>
      </c>
      <c r="J827" s="2">
        <f t="shared" si="25"/>
        <v>3.1496856174079073</v>
      </c>
    </row>
    <row r="828" spans="1:10" x14ac:dyDescent="0.3">
      <c r="A828" s="1">
        <v>45314</v>
      </c>
      <c r="B828">
        <v>507.2</v>
      </c>
      <c r="C828">
        <v>236.98</v>
      </c>
      <c r="D828">
        <v>3</v>
      </c>
      <c r="E828" s="2" t="s">
        <v>8</v>
      </c>
      <c r="F828" s="2" t="s">
        <v>9</v>
      </c>
      <c r="G828" s="2" t="s">
        <v>14</v>
      </c>
      <c r="H828" s="2" t="s">
        <v>11</v>
      </c>
      <c r="I828" s="2">
        <f t="shared" si="24"/>
        <v>270.22000000000003</v>
      </c>
      <c r="J828" s="2">
        <f t="shared" si="25"/>
        <v>1.1402650012659299</v>
      </c>
    </row>
    <row r="829" spans="1:10" x14ac:dyDescent="0.3">
      <c r="A829" s="1">
        <v>45310</v>
      </c>
      <c r="B829">
        <v>737.19</v>
      </c>
      <c r="C829">
        <v>150.24</v>
      </c>
      <c r="D829">
        <v>8</v>
      </c>
      <c r="E829" s="2" t="s">
        <v>8</v>
      </c>
      <c r="F829" s="2" t="s">
        <v>9</v>
      </c>
      <c r="G829" s="2" t="s">
        <v>14</v>
      </c>
      <c r="H829" s="2" t="s">
        <v>11</v>
      </c>
      <c r="I829" s="2">
        <f t="shared" si="24"/>
        <v>586.95000000000005</v>
      </c>
      <c r="J829" s="2">
        <f t="shared" si="25"/>
        <v>3.9067492012779552</v>
      </c>
    </row>
    <row r="830" spans="1:10" x14ac:dyDescent="0.3">
      <c r="A830" s="1">
        <v>45371</v>
      </c>
      <c r="B830">
        <v>1148.24</v>
      </c>
      <c r="C830">
        <v>44.03</v>
      </c>
      <c r="D830">
        <v>9</v>
      </c>
      <c r="E830" s="2" t="s">
        <v>16</v>
      </c>
      <c r="F830" s="2" t="s">
        <v>17</v>
      </c>
      <c r="G830" s="2" t="s">
        <v>14</v>
      </c>
      <c r="H830" s="2" t="s">
        <v>15</v>
      </c>
      <c r="I830" s="2">
        <f t="shared" si="24"/>
        <v>1104.21</v>
      </c>
      <c r="J830" s="2">
        <f t="shared" si="25"/>
        <v>25.078582784465137</v>
      </c>
    </row>
    <row r="831" spans="1:10" x14ac:dyDescent="0.3">
      <c r="A831" s="1">
        <v>45371</v>
      </c>
      <c r="B831">
        <v>1132.21</v>
      </c>
      <c r="C831">
        <v>380.71</v>
      </c>
      <c r="D831">
        <v>6</v>
      </c>
      <c r="E831" s="2" t="s">
        <v>8</v>
      </c>
      <c r="F831" s="2" t="s">
        <v>17</v>
      </c>
      <c r="G831" s="2" t="s">
        <v>12</v>
      </c>
      <c r="H831" s="2" t="s">
        <v>20</v>
      </c>
      <c r="I831" s="2">
        <f t="shared" si="24"/>
        <v>751.5</v>
      </c>
      <c r="J831" s="2">
        <f t="shared" si="25"/>
        <v>1.9739434215019307</v>
      </c>
    </row>
    <row r="832" spans="1:10" x14ac:dyDescent="0.3">
      <c r="A832" s="1">
        <v>45372</v>
      </c>
      <c r="B832">
        <v>826.26</v>
      </c>
      <c r="C832">
        <v>310.89</v>
      </c>
      <c r="D832">
        <v>4</v>
      </c>
      <c r="E832" s="2" t="s">
        <v>8</v>
      </c>
      <c r="F832" s="2" t="s">
        <v>17</v>
      </c>
      <c r="G832" s="2" t="s">
        <v>12</v>
      </c>
      <c r="H832" s="2" t="s">
        <v>15</v>
      </c>
      <c r="I832" s="2">
        <f t="shared" si="24"/>
        <v>515.37</v>
      </c>
      <c r="J832" s="2">
        <f t="shared" si="25"/>
        <v>1.657724597124385</v>
      </c>
    </row>
    <row r="833" spans="1:10" x14ac:dyDescent="0.3">
      <c r="A833" s="1">
        <v>45356</v>
      </c>
      <c r="B833">
        <v>78.55</v>
      </c>
      <c r="C833">
        <v>32.61</v>
      </c>
      <c r="D833">
        <v>2</v>
      </c>
      <c r="E833" s="2" t="s">
        <v>16</v>
      </c>
      <c r="F833" s="2" t="s">
        <v>9</v>
      </c>
      <c r="G833" s="2" t="s">
        <v>10</v>
      </c>
      <c r="H833" s="2" t="s">
        <v>11</v>
      </c>
      <c r="I833" s="2">
        <f t="shared" si="24"/>
        <v>45.94</v>
      </c>
      <c r="J833" s="2">
        <f t="shared" si="25"/>
        <v>1.4087703158540326</v>
      </c>
    </row>
    <row r="834" spans="1:10" x14ac:dyDescent="0.3">
      <c r="A834" s="1">
        <v>45379</v>
      </c>
      <c r="B834">
        <v>919.82</v>
      </c>
      <c r="C834">
        <v>83.4</v>
      </c>
      <c r="D834">
        <v>4</v>
      </c>
      <c r="E834" s="2" t="s">
        <v>8</v>
      </c>
      <c r="F834" s="2" t="s">
        <v>9</v>
      </c>
      <c r="G834" s="2" t="s">
        <v>12</v>
      </c>
      <c r="H834" s="2" t="s">
        <v>20</v>
      </c>
      <c r="I834" s="2">
        <f t="shared" ref="I834:I897" si="26">B834-C834</f>
        <v>836.42000000000007</v>
      </c>
      <c r="J834" s="2">
        <f t="shared" ref="J834:J897" si="27">IF(C834=0,0,I834/C834)</f>
        <v>10.029016786570743</v>
      </c>
    </row>
    <row r="835" spans="1:10" x14ac:dyDescent="0.3">
      <c r="A835" s="1">
        <v>45382</v>
      </c>
      <c r="B835">
        <v>296.32</v>
      </c>
      <c r="C835">
        <v>342.4</v>
      </c>
      <c r="D835">
        <v>2</v>
      </c>
      <c r="E835" s="2" t="s">
        <v>13</v>
      </c>
      <c r="F835" s="2" t="s">
        <v>9</v>
      </c>
      <c r="G835" s="2" t="s">
        <v>14</v>
      </c>
      <c r="H835" s="2" t="s">
        <v>18</v>
      </c>
      <c r="I835" s="2">
        <f t="shared" si="26"/>
        <v>-46.079999999999984</v>
      </c>
      <c r="J835" s="2">
        <f t="shared" si="27"/>
        <v>-0.13457943925233642</v>
      </c>
    </row>
    <row r="836" spans="1:10" x14ac:dyDescent="0.3">
      <c r="A836" s="1">
        <v>45405</v>
      </c>
      <c r="B836">
        <v>1462.28</v>
      </c>
      <c r="C836">
        <v>148.57</v>
      </c>
      <c r="D836">
        <v>5</v>
      </c>
      <c r="E836" s="2" t="s">
        <v>16</v>
      </c>
      <c r="F836" s="2" t="s">
        <v>9</v>
      </c>
      <c r="G836" s="2" t="s">
        <v>14</v>
      </c>
      <c r="H836" s="2" t="s">
        <v>20</v>
      </c>
      <c r="I836" s="2">
        <f t="shared" si="26"/>
        <v>1313.71</v>
      </c>
      <c r="J836" s="2">
        <f t="shared" si="27"/>
        <v>8.8423638688833552</v>
      </c>
    </row>
    <row r="837" spans="1:10" x14ac:dyDescent="0.3">
      <c r="A837" s="1">
        <v>45347</v>
      </c>
      <c r="B837">
        <v>752.92</v>
      </c>
      <c r="C837">
        <v>472</v>
      </c>
      <c r="D837">
        <v>1</v>
      </c>
      <c r="E837" s="2" t="s">
        <v>13</v>
      </c>
      <c r="F837" s="2" t="s">
        <v>9</v>
      </c>
      <c r="G837" s="2" t="s">
        <v>14</v>
      </c>
      <c r="H837" s="2" t="s">
        <v>20</v>
      </c>
      <c r="I837" s="2">
        <f t="shared" si="26"/>
        <v>280.91999999999996</v>
      </c>
      <c r="J837" s="2">
        <f t="shared" si="27"/>
        <v>0.59516949152542364</v>
      </c>
    </row>
    <row r="838" spans="1:10" x14ac:dyDescent="0.3">
      <c r="A838" s="1">
        <v>45370</v>
      </c>
      <c r="B838">
        <v>167.8</v>
      </c>
      <c r="C838">
        <v>146.94</v>
      </c>
      <c r="D838">
        <v>0</v>
      </c>
      <c r="E838" s="2" t="s">
        <v>16</v>
      </c>
      <c r="F838" s="2" t="s">
        <v>9</v>
      </c>
      <c r="G838" s="2" t="s">
        <v>14</v>
      </c>
      <c r="H838" s="2" t="s">
        <v>11</v>
      </c>
      <c r="I838" s="2">
        <f t="shared" si="26"/>
        <v>20.860000000000014</v>
      </c>
      <c r="J838" s="2">
        <f t="shared" si="27"/>
        <v>0.14196270586634011</v>
      </c>
    </row>
    <row r="839" spans="1:10" x14ac:dyDescent="0.3">
      <c r="A839" s="1">
        <v>45371</v>
      </c>
      <c r="B839">
        <v>574.86</v>
      </c>
      <c r="C839">
        <v>349.41</v>
      </c>
      <c r="D839">
        <v>4</v>
      </c>
      <c r="E839" s="2" t="s">
        <v>13</v>
      </c>
      <c r="F839" s="2" t="s">
        <v>9</v>
      </c>
      <c r="G839" s="2" t="s">
        <v>12</v>
      </c>
      <c r="H839" s="2" t="s">
        <v>18</v>
      </c>
      <c r="I839" s="2">
        <f t="shared" si="26"/>
        <v>225.45</v>
      </c>
      <c r="J839" s="2">
        <f t="shared" si="27"/>
        <v>0.64523053146733056</v>
      </c>
    </row>
    <row r="840" spans="1:10" x14ac:dyDescent="0.3">
      <c r="A840" s="1">
        <v>45391</v>
      </c>
      <c r="B840">
        <v>219.74</v>
      </c>
      <c r="C840">
        <v>326.5</v>
      </c>
      <c r="D840">
        <v>2</v>
      </c>
      <c r="E840" s="2" t="s">
        <v>16</v>
      </c>
      <c r="F840" s="2" t="s">
        <v>17</v>
      </c>
      <c r="G840" s="2" t="s">
        <v>14</v>
      </c>
      <c r="H840" s="2" t="s">
        <v>15</v>
      </c>
      <c r="I840" s="2">
        <f t="shared" si="26"/>
        <v>-106.75999999999999</v>
      </c>
      <c r="J840" s="2">
        <f t="shared" si="27"/>
        <v>-0.32698315467075034</v>
      </c>
    </row>
    <row r="841" spans="1:10" x14ac:dyDescent="0.3">
      <c r="A841" s="1">
        <v>45392</v>
      </c>
      <c r="B841">
        <v>873.91</v>
      </c>
      <c r="C841">
        <v>171.65</v>
      </c>
      <c r="D841">
        <v>3</v>
      </c>
      <c r="E841" s="2" t="s">
        <v>16</v>
      </c>
      <c r="F841" s="2" t="s">
        <v>17</v>
      </c>
      <c r="G841" s="2" t="s">
        <v>10</v>
      </c>
      <c r="H841" s="2" t="s">
        <v>18</v>
      </c>
      <c r="I841" s="2">
        <f t="shared" si="26"/>
        <v>702.26</v>
      </c>
      <c r="J841" s="2">
        <f t="shared" si="27"/>
        <v>4.0912321584619864</v>
      </c>
    </row>
    <row r="842" spans="1:10" x14ac:dyDescent="0.3">
      <c r="A842" s="1">
        <v>45329</v>
      </c>
      <c r="B842">
        <v>1298.19</v>
      </c>
      <c r="C842">
        <v>474.81</v>
      </c>
      <c r="D842">
        <v>0</v>
      </c>
      <c r="E842" s="2" t="s">
        <v>16</v>
      </c>
      <c r="F842" s="2" t="s">
        <v>17</v>
      </c>
      <c r="G842" s="2" t="s">
        <v>10</v>
      </c>
      <c r="H842" s="2" t="s">
        <v>18</v>
      </c>
      <c r="I842" s="2">
        <f t="shared" si="26"/>
        <v>823.38000000000011</v>
      </c>
      <c r="J842" s="2">
        <f t="shared" si="27"/>
        <v>1.7341252290389841</v>
      </c>
    </row>
    <row r="843" spans="1:10" x14ac:dyDescent="0.3">
      <c r="A843" s="1">
        <v>45300</v>
      </c>
      <c r="B843">
        <v>1386.87</v>
      </c>
      <c r="C843">
        <v>280.02999999999997</v>
      </c>
      <c r="D843">
        <v>4</v>
      </c>
      <c r="E843" s="2" t="s">
        <v>8</v>
      </c>
      <c r="F843" s="2" t="s">
        <v>9</v>
      </c>
      <c r="G843" s="2" t="s">
        <v>14</v>
      </c>
      <c r="H843" s="2" t="s">
        <v>20</v>
      </c>
      <c r="I843" s="2">
        <f t="shared" si="26"/>
        <v>1106.8399999999999</v>
      </c>
      <c r="J843" s="2">
        <f t="shared" si="27"/>
        <v>3.9525765096596794</v>
      </c>
    </row>
    <row r="844" spans="1:10" x14ac:dyDescent="0.3">
      <c r="A844" s="1">
        <v>45408</v>
      </c>
      <c r="B844">
        <v>267.47000000000003</v>
      </c>
      <c r="C844">
        <v>436.34</v>
      </c>
      <c r="D844">
        <v>0</v>
      </c>
      <c r="E844" s="2" t="s">
        <v>16</v>
      </c>
      <c r="F844" s="2" t="s">
        <v>9</v>
      </c>
      <c r="G844" s="2" t="s">
        <v>14</v>
      </c>
      <c r="H844" s="2" t="s">
        <v>15</v>
      </c>
      <c r="I844" s="2">
        <f t="shared" si="26"/>
        <v>-168.86999999999995</v>
      </c>
      <c r="J844" s="2">
        <f t="shared" si="27"/>
        <v>-0.38701471329697018</v>
      </c>
    </row>
    <row r="845" spans="1:10" x14ac:dyDescent="0.3">
      <c r="A845" s="1">
        <v>45383</v>
      </c>
      <c r="B845">
        <v>385.53</v>
      </c>
      <c r="C845">
        <v>29.21</v>
      </c>
      <c r="D845">
        <v>2</v>
      </c>
      <c r="E845" s="2" t="s">
        <v>16</v>
      </c>
      <c r="F845" s="2" t="s">
        <v>17</v>
      </c>
      <c r="G845" s="2" t="s">
        <v>14</v>
      </c>
      <c r="H845" s="2" t="s">
        <v>11</v>
      </c>
      <c r="I845" s="2">
        <f t="shared" si="26"/>
        <v>356.32</v>
      </c>
      <c r="J845" s="2">
        <f t="shared" si="27"/>
        <v>12.198562136254706</v>
      </c>
    </row>
    <row r="846" spans="1:10" x14ac:dyDescent="0.3">
      <c r="A846" s="1">
        <v>45332</v>
      </c>
      <c r="B846">
        <v>102.27</v>
      </c>
      <c r="C846">
        <v>390.65</v>
      </c>
      <c r="D846">
        <v>6</v>
      </c>
      <c r="E846" s="2" t="s">
        <v>8</v>
      </c>
      <c r="F846" s="2" t="s">
        <v>17</v>
      </c>
      <c r="G846" s="2" t="s">
        <v>10</v>
      </c>
      <c r="H846" s="2" t="s">
        <v>15</v>
      </c>
      <c r="I846" s="2">
        <f t="shared" si="26"/>
        <v>-288.38</v>
      </c>
      <c r="J846" s="2">
        <f t="shared" si="27"/>
        <v>-0.73820555484449002</v>
      </c>
    </row>
    <row r="847" spans="1:10" x14ac:dyDescent="0.3">
      <c r="A847" s="1">
        <v>45321</v>
      </c>
      <c r="B847">
        <v>868.68</v>
      </c>
      <c r="C847">
        <v>252.48</v>
      </c>
      <c r="D847">
        <v>8</v>
      </c>
      <c r="E847" s="2" t="s">
        <v>13</v>
      </c>
      <c r="F847" s="2" t="s">
        <v>9</v>
      </c>
      <c r="G847" s="2" t="s">
        <v>12</v>
      </c>
      <c r="H847" s="2" t="s">
        <v>20</v>
      </c>
      <c r="I847" s="2">
        <f t="shared" si="26"/>
        <v>616.19999999999993</v>
      </c>
      <c r="J847" s="2">
        <f t="shared" si="27"/>
        <v>2.4405893536121672</v>
      </c>
    </row>
    <row r="848" spans="1:10" x14ac:dyDescent="0.3">
      <c r="A848" s="1">
        <v>45330</v>
      </c>
      <c r="B848">
        <v>518.84</v>
      </c>
      <c r="C848">
        <v>204.78</v>
      </c>
      <c r="D848">
        <v>9</v>
      </c>
      <c r="E848" s="2" t="s">
        <v>16</v>
      </c>
      <c r="F848" s="2" t="s">
        <v>9</v>
      </c>
      <c r="G848" s="2" t="s">
        <v>14</v>
      </c>
      <c r="H848" s="2" t="s">
        <v>18</v>
      </c>
      <c r="I848" s="2">
        <f t="shared" si="26"/>
        <v>314.06000000000006</v>
      </c>
      <c r="J848" s="2">
        <f t="shared" si="27"/>
        <v>1.5336458638538923</v>
      </c>
    </row>
    <row r="849" spans="1:10" x14ac:dyDescent="0.3">
      <c r="A849" s="1">
        <v>45405</v>
      </c>
      <c r="B849">
        <v>925.06</v>
      </c>
      <c r="C849">
        <v>345.74</v>
      </c>
      <c r="D849">
        <v>2</v>
      </c>
      <c r="E849" s="2" t="s">
        <v>16</v>
      </c>
      <c r="F849" s="2" t="s">
        <v>17</v>
      </c>
      <c r="G849" s="2" t="s">
        <v>14</v>
      </c>
      <c r="H849" s="2" t="s">
        <v>15</v>
      </c>
      <c r="I849" s="2">
        <f t="shared" si="26"/>
        <v>579.31999999999994</v>
      </c>
      <c r="J849" s="2">
        <f t="shared" si="27"/>
        <v>1.6755943772777229</v>
      </c>
    </row>
    <row r="850" spans="1:10" x14ac:dyDescent="0.3">
      <c r="A850" s="1">
        <v>45309</v>
      </c>
      <c r="B850">
        <v>518.6</v>
      </c>
      <c r="C850">
        <v>333.23</v>
      </c>
      <c r="D850">
        <v>0</v>
      </c>
      <c r="E850" s="2" t="s">
        <v>8</v>
      </c>
      <c r="F850" s="2" t="s">
        <v>9</v>
      </c>
      <c r="G850" s="2" t="s">
        <v>10</v>
      </c>
      <c r="H850" s="2" t="s">
        <v>15</v>
      </c>
      <c r="I850" s="2">
        <f t="shared" si="26"/>
        <v>185.37</v>
      </c>
      <c r="J850" s="2">
        <f t="shared" si="27"/>
        <v>0.55628244755874323</v>
      </c>
    </row>
    <row r="851" spans="1:10" x14ac:dyDescent="0.3">
      <c r="A851" s="1">
        <v>45338</v>
      </c>
      <c r="B851">
        <v>1330.92</v>
      </c>
      <c r="C851">
        <v>436.98</v>
      </c>
      <c r="D851">
        <v>7</v>
      </c>
      <c r="E851" s="2" t="s">
        <v>13</v>
      </c>
      <c r="F851" s="2" t="s">
        <v>9</v>
      </c>
      <c r="G851" s="2" t="s">
        <v>14</v>
      </c>
      <c r="H851" s="2" t="s">
        <v>18</v>
      </c>
      <c r="I851" s="2">
        <f t="shared" si="26"/>
        <v>893.94</v>
      </c>
      <c r="J851" s="2">
        <f t="shared" si="27"/>
        <v>2.0457229163806123</v>
      </c>
    </row>
    <row r="852" spans="1:10" x14ac:dyDescent="0.3">
      <c r="A852" s="1">
        <v>45317</v>
      </c>
      <c r="B852">
        <v>1182.04</v>
      </c>
      <c r="C852">
        <v>90.8</v>
      </c>
      <c r="D852">
        <v>5</v>
      </c>
      <c r="E852" s="2" t="s">
        <v>13</v>
      </c>
      <c r="F852" s="2" t="s">
        <v>17</v>
      </c>
      <c r="G852" s="2" t="s">
        <v>10</v>
      </c>
      <c r="H852" s="2" t="s">
        <v>15</v>
      </c>
      <c r="I852" s="2">
        <f t="shared" si="26"/>
        <v>1091.24</v>
      </c>
      <c r="J852" s="2">
        <f t="shared" si="27"/>
        <v>12.018061674008811</v>
      </c>
    </row>
    <row r="853" spans="1:10" x14ac:dyDescent="0.3">
      <c r="A853" s="1">
        <v>45353</v>
      </c>
      <c r="B853">
        <v>652.34</v>
      </c>
      <c r="C853">
        <v>491.46</v>
      </c>
      <c r="D853">
        <v>8</v>
      </c>
      <c r="E853" s="2" t="s">
        <v>8</v>
      </c>
      <c r="F853" s="2" t="s">
        <v>17</v>
      </c>
      <c r="G853" s="2" t="s">
        <v>19</v>
      </c>
      <c r="H853" s="2" t="s">
        <v>15</v>
      </c>
      <c r="I853" s="2">
        <f t="shared" si="26"/>
        <v>160.88000000000005</v>
      </c>
      <c r="J853" s="2">
        <f t="shared" si="27"/>
        <v>0.32735115777479357</v>
      </c>
    </row>
    <row r="854" spans="1:10" x14ac:dyDescent="0.3">
      <c r="A854" s="1">
        <v>45305</v>
      </c>
      <c r="B854">
        <v>104.1</v>
      </c>
      <c r="C854">
        <v>205.63</v>
      </c>
      <c r="D854">
        <v>7</v>
      </c>
      <c r="E854" s="2" t="s">
        <v>13</v>
      </c>
      <c r="F854" s="2" t="s">
        <v>17</v>
      </c>
      <c r="G854" s="2" t="s">
        <v>14</v>
      </c>
      <c r="H854" s="2" t="s">
        <v>18</v>
      </c>
      <c r="I854" s="2">
        <f t="shared" si="26"/>
        <v>-101.53</v>
      </c>
      <c r="J854" s="2">
        <f t="shared" si="27"/>
        <v>-0.49375091183193115</v>
      </c>
    </row>
    <row r="855" spans="1:10" x14ac:dyDescent="0.3">
      <c r="A855" s="1">
        <v>45320</v>
      </c>
      <c r="B855">
        <v>122.15</v>
      </c>
      <c r="C855">
        <v>127.83</v>
      </c>
      <c r="D855">
        <v>9</v>
      </c>
      <c r="E855" s="2" t="s">
        <v>13</v>
      </c>
      <c r="F855" s="2" t="s">
        <v>17</v>
      </c>
      <c r="G855" s="2" t="s">
        <v>19</v>
      </c>
      <c r="H855" s="2" t="s">
        <v>11</v>
      </c>
      <c r="I855" s="2">
        <f t="shared" si="26"/>
        <v>-5.6799999999999926</v>
      </c>
      <c r="J855" s="2">
        <f t="shared" si="27"/>
        <v>-4.4434013924743741E-2</v>
      </c>
    </row>
    <row r="856" spans="1:10" x14ac:dyDescent="0.3">
      <c r="A856" s="1">
        <v>45354</v>
      </c>
      <c r="B856">
        <v>353.71</v>
      </c>
      <c r="C856">
        <v>374.57</v>
      </c>
      <c r="D856">
        <v>6</v>
      </c>
      <c r="E856" s="2" t="s">
        <v>16</v>
      </c>
      <c r="F856" s="2" t="s">
        <v>9</v>
      </c>
      <c r="G856" s="2" t="s">
        <v>19</v>
      </c>
      <c r="H856" s="2" t="s">
        <v>15</v>
      </c>
      <c r="I856" s="2">
        <f t="shared" si="26"/>
        <v>-20.860000000000014</v>
      </c>
      <c r="J856" s="2">
        <f t="shared" si="27"/>
        <v>-5.5690525135488729E-2</v>
      </c>
    </row>
    <row r="857" spans="1:10" x14ac:dyDescent="0.3">
      <c r="A857" s="1">
        <v>45327</v>
      </c>
      <c r="B857">
        <v>866.36</v>
      </c>
      <c r="C857">
        <v>394.94</v>
      </c>
      <c r="D857">
        <v>5</v>
      </c>
      <c r="E857" s="2" t="s">
        <v>13</v>
      </c>
      <c r="F857" s="2" t="s">
        <v>9</v>
      </c>
      <c r="G857" s="2" t="s">
        <v>12</v>
      </c>
      <c r="H857" s="2" t="s">
        <v>15</v>
      </c>
      <c r="I857" s="2">
        <f t="shared" si="26"/>
        <v>471.42</v>
      </c>
      <c r="J857" s="2">
        <f t="shared" si="27"/>
        <v>1.1936496683040463</v>
      </c>
    </row>
    <row r="858" spans="1:10" x14ac:dyDescent="0.3">
      <c r="A858" s="1">
        <v>45371</v>
      </c>
      <c r="B858">
        <v>734.71</v>
      </c>
      <c r="C858">
        <v>444.84</v>
      </c>
      <c r="D858">
        <v>6</v>
      </c>
      <c r="E858" s="2" t="s">
        <v>13</v>
      </c>
      <c r="F858" s="2" t="s">
        <v>17</v>
      </c>
      <c r="G858" s="2" t="s">
        <v>10</v>
      </c>
      <c r="H858" s="2" t="s">
        <v>15</v>
      </c>
      <c r="I858" s="2">
        <f t="shared" si="26"/>
        <v>289.87000000000006</v>
      </c>
      <c r="J858" s="2">
        <f t="shared" si="27"/>
        <v>0.65162755147918372</v>
      </c>
    </row>
    <row r="859" spans="1:10" x14ac:dyDescent="0.3">
      <c r="A859" s="1">
        <v>45295</v>
      </c>
      <c r="B859">
        <v>472.96</v>
      </c>
      <c r="C859">
        <v>105.52</v>
      </c>
      <c r="D859">
        <v>0</v>
      </c>
      <c r="E859" s="2" t="s">
        <v>8</v>
      </c>
      <c r="F859" s="2" t="s">
        <v>9</v>
      </c>
      <c r="G859" s="2" t="s">
        <v>19</v>
      </c>
      <c r="H859" s="2" t="s">
        <v>20</v>
      </c>
      <c r="I859" s="2">
        <f t="shared" si="26"/>
        <v>367.44</v>
      </c>
      <c r="J859" s="2">
        <f t="shared" si="27"/>
        <v>3.4821834723275211</v>
      </c>
    </row>
    <row r="860" spans="1:10" x14ac:dyDescent="0.3">
      <c r="A860" s="1">
        <v>45407</v>
      </c>
      <c r="B860">
        <v>234.81</v>
      </c>
      <c r="C860">
        <v>239.3</v>
      </c>
      <c r="D860">
        <v>0</v>
      </c>
      <c r="E860" s="2" t="s">
        <v>13</v>
      </c>
      <c r="F860" s="2" t="s">
        <v>9</v>
      </c>
      <c r="G860" s="2" t="s">
        <v>10</v>
      </c>
      <c r="H860" s="2" t="s">
        <v>18</v>
      </c>
      <c r="I860" s="2">
        <f t="shared" si="26"/>
        <v>-4.4900000000000091</v>
      </c>
      <c r="J860" s="2">
        <f t="shared" si="27"/>
        <v>-1.8763058921855449E-2</v>
      </c>
    </row>
    <row r="861" spans="1:10" x14ac:dyDescent="0.3">
      <c r="A861" s="1">
        <v>45358</v>
      </c>
      <c r="B861">
        <v>1060.25</v>
      </c>
      <c r="C861">
        <v>297.18</v>
      </c>
      <c r="D861">
        <v>6</v>
      </c>
      <c r="E861" s="2" t="s">
        <v>13</v>
      </c>
      <c r="F861" s="2" t="s">
        <v>17</v>
      </c>
      <c r="G861" s="2" t="s">
        <v>19</v>
      </c>
      <c r="H861" s="2" t="s">
        <v>20</v>
      </c>
      <c r="I861" s="2">
        <f t="shared" si="26"/>
        <v>763.06999999999994</v>
      </c>
      <c r="J861" s="2">
        <f t="shared" si="27"/>
        <v>2.5677030755770911</v>
      </c>
    </row>
    <row r="862" spans="1:10" x14ac:dyDescent="0.3">
      <c r="A862" s="1">
        <v>45337</v>
      </c>
      <c r="B862">
        <v>798.54</v>
      </c>
      <c r="C862">
        <v>257.08999999999997</v>
      </c>
      <c r="D862">
        <v>7</v>
      </c>
      <c r="E862" s="2" t="s">
        <v>8</v>
      </c>
      <c r="F862" s="2" t="s">
        <v>9</v>
      </c>
      <c r="G862" s="2" t="s">
        <v>12</v>
      </c>
      <c r="H862" s="2" t="s">
        <v>20</v>
      </c>
      <c r="I862" s="2">
        <f t="shared" si="26"/>
        <v>541.45000000000005</v>
      </c>
      <c r="J862" s="2">
        <f t="shared" si="27"/>
        <v>2.1060718036485282</v>
      </c>
    </row>
    <row r="863" spans="1:10" x14ac:dyDescent="0.3">
      <c r="A863" s="1">
        <v>45396</v>
      </c>
      <c r="B863">
        <v>584.67999999999995</v>
      </c>
      <c r="C863">
        <v>183.51</v>
      </c>
      <c r="D863">
        <v>1</v>
      </c>
      <c r="E863" s="2" t="s">
        <v>13</v>
      </c>
      <c r="F863" s="2" t="s">
        <v>17</v>
      </c>
      <c r="G863" s="2" t="s">
        <v>14</v>
      </c>
      <c r="H863" s="2" t="s">
        <v>15</v>
      </c>
      <c r="I863" s="2">
        <f t="shared" si="26"/>
        <v>401.16999999999996</v>
      </c>
      <c r="J863" s="2">
        <f t="shared" si="27"/>
        <v>2.1860934009045829</v>
      </c>
    </row>
    <row r="864" spans="1:10" x14ac:dyDescent="0.3">
      <c r="A864" s="1">
        <v>45310</v>
      </c>
      <c r="B864">
        <v>1230.27</v>
      </c>
      <c r="C864">
        <v>64.790000000000006</v>
      </c>
      <c r="D864">
        <v>9</v>
      </c>
      <c r="E864" s="2" t="s">
        <v>16</v>
      </c>
      <c r="F864" s="2" t="s">
        <v>9</v>
      </c>
      <c r="G864" s="2" t="s">
        <v>10</v>
      </c>
      <c r="H864" s="2" t="s">
        <v>15</v>
      </c>
      <c r="I864" s="2">
        <f t="shared" si="26"/>
        <v>1165.48</v>
      </c>
      <c r="J864" s="2">
        <f t="shared" si="27"/>
        <v>17.988578484333999</v>
      </c>
    </row>
    <row r="865" spans="1:10" x14ac:dyDescent="0.3">
      <c r="A865" s="1">
        <v>45357</v>
      </c>
      <c r="B865">
        <v>867.24</v>
      </c>
      <c r="C865">
        <v>21.51</v>
      </c>
      <c r="D865">
        <v>3</v>
      </c>
      <c r="E865" s="2" t="s">
        <v>13</v>
      </c>
      <c r="F865" s="2" t="s">
        <v>17</v>
      </c>
      <c r="G865" s="2" t="s">
        <v>14</v>
      </c>
      <c r="H865" s="2" t="s">
        <v>11</v>
      </c>
      <c r="I865" s="2">
        <f t="shared" si="26"/>
        <v>845.73</v>
      </c>
      <c r="J865" s="2">
        <f t="shared" si="27"/>
        <v>39.31799163179916</v>
      </c>
    </row>
    <row r="866" spans="1:10" x14ac:dyDescent="0.3">
      <c r="A866" s="1">
        <v>45399</v>
      </c>
      <c r="B866">
        <v>1237.99</v>
      </c>
      <c r="C866">
        <v>403.32</v>
      </c>
      <c r="D866">
        <v>2</v>
      </c>
      <c r="E866" s="2" t="s">
        <v>16</v>
      </c>
      <c r="F866" s="2" t="s">
        <v>9</v>
      </c>
      <c r="G866" s="2" t="s">
        <v>14</v>
      </c>
      <c r="H866" s="2" t="s">
        <v>15</v>
      </c>
      <c r="I866" s="2">
        <f t="shared" si="26"/>
        <v>834.67000000000007</v>
      </c>
      <c r="J866" s="2">
        <f t="shared" si="27"/>
        <v>2.0694981652286026</v>
      </c>
    </row>
    <row r="867" spans="1:10" x14ac:dyDescent="0.3">
      <c r="A867" s="1">
        <v>45359</v>
      </c>
      <c r="B867">
        <v>1436.85</v>
      </c>
      <c r="C867">
        <v>344.92</v>
      </c>
      <c r="D867">
        <v>10</v>
      </c>
      <c r="E867" s="2" t="s">
        <v>8</v>
      </c>
      <c r="F867" s="2" t="s">
        <v>9</v>
      </c>
      <c r="G867" s="2" t="s">
        <v>14</v>
      </c>
      <c r="H867" s="2" t="s">
        <v>18</v>
      </c>
      <c r="I867" s="2">
        <f t="shared" si="26"/>
        <v>1091.9299999999998</v>
      </c>
      <c r="J867" s="2">
        <f t="shared" si="27"/>
        <v>3.1657485793807254</v>
      </c>
    </row>
    <row r="868" spans="1:10" x14ac:dyDescent="0.3">
      <c r="A868" s="1">
        <v>45368</v>
      </c>
      <c r="B868">
        <v>923.14</v>
      </c>
      <c r="C868">
        <v>10.55</v>
      </c>
      <c r="D868">
        <v>2</v>
      </c>
      <c r="E868" s="2" t="s">
        <v>8</v>
      </c>
      <c r="F868" s="2" t="s">
        <v>17</v>
      </c>
      <c r="G868" s="2" t="s">
        <v>14</v>
      </c>
      <c r="H868" s="2" t="s">
        <v>11</v>
      </c>
      <c r="I868" s="2">
        <f t="shared" si="26"/>
        <v>912.59</v>
      </c>
      <c r="J868" s="2">
        <f t="shared" si="27"/>
        <v>86.501421800947867</v>
      </c>
    </row>
    <row r="869" spans="1:10" x14ac:dyDescent="0.3">
      <c r="A869" s="1">
        <v>45362</v>
      </c>
      <c r="B869">
        <v>191.34</v>
      </c>
      <c r="C869">
        <v>200.69</v>
      </c>
      <c r="D869">
        <v>5</v>
      </c>
      <c r="E869" s="2" t="s">
        <v>8</v>
      </c>
      <c r="F869" s="2" t="s">
        <v>17</v>
      </c>
      <c r="G869" s="2" t="s">
        <v>10</v>
      </c>
      <c r="H869" s="2" t="s">
        <v>11</v>
      </c>
      <c r="I869" s="2">
        <f t="shared" si="26"/>
        <v>-9.3499999999999943</v>
      </c>
      <c r="J869" s="2">
        <f t="shared" si="27"/>
        <v>-4.6589267028750783E-2</v>
      </c>
    </row>
    <row r="870" spans="1:10" x14ac:dyDescent="0.3">
      <c r="A870" s="1">
        <v>45395</v>
      </c>
      <c r="B870">
        <v>671.7</v>
      </c>
      <c r="C870">
        <v>468.24</v>
      </c>
      <c r="D870">
        <v>9</v>
      </c>
      <c r="E870" s="2" t="s">
        <v>13</v>
      </c>
      <c r="F870" s="2" t="s">
        <v>17</v>
      </c>
      <c r="G870" s="2" t="s">
        <v>19</v>
      </c>
      <c r="H870" s="2" t="s">
        <v>20</v>
      </c>
      <c r="I870" s="2">
        <f t="shared" si="26"/>
        <v>203.46000000000004</v>
      </c>
      <c r="J870" s="2">
        <f t="shared" si="27"/>
        <v>0.43452075858534089</v>
      </c>
    </row>
    <row r="871" spans="1:10" x14ac:dyDescent="0.3">
      <c r="A871" s="1">
        <v>45310</v>
      </c>
      <c r="B871">
        <v>1270.76</v>
      </c>
      <c r="C871">
        <v>327.67</v>
      </c>
      <c r="D871">
        <v>5</v>
      </c>
      <c r="E871" s="2" t="s">
        <v>8</v>
      </c>
      <c r="F871" s="2" t="s">
        <v>9</v>
      </c>
      <c r="G871" s="2" t="s">
        <v>12</v>
      </c>
      <c r="H871" s="2" t="s">
        <v>20</v>
      </c>
      <c r="I871" s="2">
        <f t="shared" si="26"/>
        <v>943.08999999999992</v>
      </c>
      <c r="J871" s="2">
        <f t="shared" si="27"/>
        <v>2.8781701101718187</v>
      </c>
    </row>
    <row r="872" spans="1:10" x14ac:dyDescent="0.3">
      <c r="A872" s="1">
        <v>45342</v>
      </c>
      <c r="B872">
        <v>1171.1099999999999</v>
      </c>
      <c r="C872">
        <v>17.3</v>
      </c>
      <c r="D872">
        <v>4</v>
      </c>
      <c r="E872" s="2" t="s">
        <v>8</v>
      </c>
      <c r="F872" s="2" t="s">
        <v>17</v>
      </c>
      <c r="G872" s="2" t="s">
        <v>19</v>
      </c>
      <c r="H872" s="2" t="s">
        <v>11</v>
      </c>
      <c r="I872" s="2">
        <f t="shared" si="26"/>
        <v>1153.81</v>
      </c>
      <c r="J872" s="2">
        <f t="shared" si="27"/>
        <v>66.694219653179189</v>
      </c>
    </row>
    <row r="873" spans="1:10" x14ac:dyDescent="0.3">
      <c r="A873" s="1">
        <v>45357</v>
      </c>
      <c r="B873">
        <v>275.92</v>
      </c>
      <c r="C873">
        <v>146.74</v>
      </c>
      <c r="D873">
        <v>10</v>
      </c>
      <c r="E873" s="2" t="s">
        <v>16</v>
      </c>
      <c r="F873" s="2" t="s">
        <v>17</v>
      </c>
      <c r="G873" s="2" t="s">
        <v>14</v>
      </c>
      <c r="H873" s="2" t="s">
        <v>11</v>
      </c>
      <c r="I873" s="2">
        <f t="shared" si="26"/>
        <v>129.18</v>
      </c>
      <c r="J873" s="2">
        <f t="shared" si="27"/>
        <v>0.88033256099223112</v>
      </c>
    </row>
    <row r="874" spans="1:10" x14ac:dyDescent="0.3">
      <c r="A874" s="1">
        <v>45315</v>
      </c>
      <c r="B874">
        <v>1068.33</v>
      </c>
      <c r="C874">
        <v>355.63</v>
      </c>
      <c r="D874">
        <v>7</v>
      </c>
      <c r="E874" s="2" t="s">
        <v>8</v>
      </c>
      <c r="F874" s="2" t="s">
        <v>17</v>
      </c>
      <c r="G874" s="2" t="s">
        <v>14</v>
      </c>
      <c r="H874" s="2" t="s">
        <v>11</v>
      </c>
      <c r="I874" s="2">
        <f t="shared" si="26"/>
        <v>712.69999999999993</v>
      </c>
      <c r="J874" s="2">
        <f t="shared" si="27"/>
        <v>2.004049152208756</v>
      </c>
    </row>
    <row r="875" spans="1:10" x14ac:dyDescent="0.3">
      <c r="A875" s="1">
        <v>45356</v>
      </c>
      <c r="B875">
        <v>853.64</v>
      </c>
      <c r="C875">
        <v>136.26</v>
      </c>
      <c r="D875">
        <v>3</v>
      </c>
      <c r="E875" s="2" t="s">
        <v>8</v>
      </c>
      <c r="F875" s="2" t="s">
        <v>9</v>
      </c>
      <c r="G875" s="2" t="s">
        <v>10</v>
      </c>
      <c r="H875" s="2" t="s">
        <v>15</v>
      </c>
      <c r="I875" s="2">
        <f t="shared" si="26"/>
        <v>717.38</v>
      </c>
      <c r="J875" s="2">
        <f t="shared" si="27"/>
        <v>5.2647879054748277</v>
      </c>
    </row>
    <row r="876" spans="1:10" x14ac:dyDescent="0.3">
      <c r="A876" s="1">
        <v>45331</v>
      </c>
      <c r="B876">
        <v>781.07</v>
      </c>
      <c r="C876">
        <v>468.11</v>
      </c>
      <c r="D876">
        <v>2</v>
      </c>
      <c r="E876" s="2" t="s">
        <v>13</v>
      </c>
      <c r="F876" s="2" t="s">
        <v>9</v>
      </c>
      <c r="G876" s="2" t="s">
        <v>10</v>
      </c>
      <c r="H876" s="2" t="s">
        <v>15</v>
      </c>
      <c r="I876" s="2">
        <f t="shared" si="26"/>
        <v>312.96000000000004</v>
      </c>
      <c r="J876" s="2">
        <f t="shared" si="27"/>
        <v>0.66856080835701015</v>
      </c>
    </row>
    <row r="877" spans="1:10" x14ac:dyDescent="0.3">
      <c r="A877" s="1">
        <v>45320</v>
      </c>
      <c r="B877">
        <v>765.43</v>
      </c>
      <c r="C877">
        <v>287.3</v>
      </c>
      <c r="D877">
        <v>4</v>
      </c>
      <c r="E877" s="2" t="s">
        <v>8</v>
      </c>
      <c r="F877" s="2" t="s">
        <v>9</v>
      </c>
      <c r="G877" s="2" t="s">
        <v>10</v>
      </c>
      <c r="H877" s="2" t="s">
        <v>18</v>
      </c>
      <c r="I877" s="2">
        <f t="shared" si="26"/>
        <v>478.12999999999994</v>
      </c>
      <c r="J877" s="2">
        <f t="shared" si="27"/>
        <v>1.664218586843021</v>
      </c>
    </row>
    <row r="878" spans="1:10" x14ac:dyDescent="0.3">
      <c r="A878" s="1">
        <v>45331</v>
      </c>
      <c r="B878">
        <v>792.55</v>
      </c>
      <c r="C878">
        <v>58.03</v>
      </c>
      <c r="D878">
        <v>5</v>
      </c>
      <c r="E878" s="2" t="s">
        <v>13</v>
      </c>
      <c r="F878" s="2" t="s">
        <v>9</v>
      </c>
      <c r="G878" s="2" t="s">
        <v>12</v>
      </c>
      <c r="H878" s="2" t="s">
        <v>18</v>
      </c>
      <c r="I878" s="2">
        <f t="shared" si="26"/>
        <v>734.52</v>
      </c>
      <c r="J878" s="2">
        <f t="shared" si="27"/>
        <v>12.657590901257969</v>
      </c>
    </row>
    <row r="879" spans="1:10" x14ac:dyDescent="0.3">
      <c r="A879" s="1">
        <v>45329</v>
      </c>
      <c r="B879">
        <v>654.01</v>
      </c>
      <c r="C879">
        <v>252.49</v>
      </c>
      <c r="D879">
        <v>5</v>
      </c>
      <c r="E879" s="2" t="s">
        <v>8</v>
      </c>
      <c r="F879" s="2" t="s">
        <v>9</v>
      </c>
      <c r="G879" s="2" t="s">
        <v>12</v>
      </c>
      <c r="H879" s="2" t="s">
        <v>15</v>
      </c>
      <c r="I879" s="2">
        <f t="shared" si="26"/>
        <v>401.52</v>
      </c>
      <c r="J879" s="2">
        <f t="shared" si="27"/>
        <v>1.5902411976711948</v>
      </c>
    </row>
    <row r="880" spans="1:10" x14ac:dyDescent="0.3">
      <c r="A880" s="1">
        <v>45299</v>
      </c>
      <c r="B880">
        <v>501.72</v>
      </c>
      <c r="C880">
        <v>453.53</v>
      </c>
      <c r="D880">
        <v>3</v>
      </c>
      <c r="E880" s="2" t="s">
        <v>13</v>
      </c>
      <c r="F880" s="2" t="s">
        <v>17</v>
      </c>
      <c r="G880" s="2" t="s">
        <v>19</v>
      </c>
      <c r="H880" s="2" t="s">
        <v>15</v>
      </c>
      <c r="I880" s="2">
        <f t="shared" si="26"/>
        <v>48.190000000000055</v>
      </c>
      <c r="J880" s="2">
        <f t="shared" si="27"/>
        <v>0.10625537450664797</v>
      </c>
    </row>
    <row r="881" spans="1:10" x14ac:dyDescent="0.3">
      <c r="A881" s="1">
        <v>45334</v>
      </c>
      <c r="B881">
        <v>108.95</v>
      </c>
      <c r="C881">
        <v>45.03</v>
      </c>
      <c r="D881">
        <v>4</v>
      </c>
      <c r="E881" s="2" t="s">
        <v>13</v>
      </c>
      <c r="F881" s="2" t="s">
        <v>17</v>
      </c>
      <c r="G881" s="2" t="s">
        <v>12</v>
      </c>
      <c r="H881" s="2" t="s">
        <v>18</v>
      </c>
      <c r="I881" s="2">
        <f t="shared" si="26"/>
        <v>63.92</v>
      </c>
      <c r="J881" s="2">
        <f t="shared" si="27"/>
        <v>1.4194981123695314</v>
      </c>
    </row>
    <row r="882" spans="1:10" x14ac:dyDescent="0.3">
      <c r="A882" s="1">
        <v>45368</v>
      </c>
      <c r="B882">
        <v>338.39</v>
      </c>
      <c r="C882">
        <v>452.55</v>
      </c>
      <c r="D882">
        <v>3</v>
      </c>
      <c r="E882" s="2" t="s">
        <v>13</v>
      </c>
      <c r="F882" s="2" t="s">
        <v>9</v>
      </c>
      <c r="G882" s="2" t="s">
        <v>19</v>
      </c>
      <c r="H882" s="2" t="s">
        <v>11</v>
      </c>
      <c r="I882" s="2">
        <f t="shared" si="26"/>
        <v>-114.16000000000003</v>
      </c>
      <c r="J882" s="2">
        <f t="shared" si="27"/>
        <v>-0.25225941884874603</v>
      </c>
    </row>
    <row r="883" spans="1:10" x14ac:dyDescent="0.3">
      <c r="A883" s="1">
        <v>45391</v>
      </c>
      <c r="B883">
        <v>1070.3599999999999</v>
      </c>
      <c r="C883">
        <v>72.48</v>
      </c>
      <c r="D883">
        <v>6</v>
      </c>
      <c r="E883" s="2" t="s">
        <v>13</v>
      </c>
      <c r="F883" s="2" t="s">
        <v>9</v>
      </c>
      <c r="G883" s="2" t="s">
        <v>19</v>
      </c>
      <c r="H883" s="2" t="s">
        <v>18</v>
      </c>
      <c r="I883" s="2">
        <f t="shared" si="26"/>
        <v>997.87999999999988</v>
      </c>
      <c r="J883" s="2">
        <f t="shared" si="27"/>
        <v>13.767660044150109</v>
      </c>
    </row>
    <row r="884" spans="1:10" x14ac:dyDescent="0.3">
      <c r="A884" s="1">
        <v>45306</v>
      </c>
      <c r="B884">
        <v>178.09</v>
      </c>
      <c r="C884">
        <v>236.74</v>
      </c>
      <c r="D884">
        <v>4</v>
      </c>
      <c r="E884" s="2" t="s">
        <v>8</v>
      </c>
      <c r="F884" s="2" t="s">
        <v>9</v>
      </c>
      <c r="G884" s="2" t="s">
        <v>14</v>
      </c>
      <c r="H884" s="2" t="s">
        <v>20</v>
      </c>
      <c r="I884" s="2">
        <f t="shared" si="26"/>
        <v>-58.650000000000006</v>
      </c>
      <c r="J884" s="2">
        <f t="shared" si="27"/>
        <v>-0.24774013685900145</v>
      </c>
    </row>
    <row r="885" spans="1:10" x14ac:dyDescent="0.3">
      <c r="A885" s="1">
        <v>45304</v>
      </c>
      <c r="B885">
        <v>909.21</v>
      </c>
      <c r="C885">
        <v>423.85</v>
      </c>
      <c r="D885">
        <v>7</v>
      </c>
      <c r="E885" s="2" t="s">
        <v>8</v>
      </c>
      <c r="F885" s="2" t="s">
        <v>17</v>
      </c>
      <c r="G885" s="2" t="s">
        <v>14</v>
      </c>
      <c r="H885" s="2" t="s">
        <v>15</v>
      </c>
      <c r="I885" s="2">
        <f t="shared" si="26"/>
        <v>485.36</v>
      </c>
      <c r="J885" s="2">
        <f t="shared" si="27"/>
        <v>1.1451220950808068</v>
      </c>
    </row>
    <row r="886" spans="1:10" x14ac:dyDescent="0.3">
      <c r="A886" s="1">
        <v>45292</v>
      </c>
      <c r="B886">
        <v>1273.18</v>
      </c>
      <c r="C886">
        <v>220.13</v>
      </c>
      <c r="D886">
        <v>1</v>
      </c>
      <c r="E886" s="2" t="s">
        <v>8</v>
      </c>
      <c r="F886" s="2" t="s">
        <v>17</v>
      </c>
      <c r="G886" s="2" t="s">
        <v>10</v>
      </c>
      <c r="H886" s="2" t="s">
        <v>11</v>
      </c>
      <c r="I886" s="2">
        <f t="shared" si="26"/>
        <v>1053.0500000000002</v>
      </c>
      <c r="J886" s="2">
        <f t="shared" si="27"/>
        <v>4.7837641393721899</v>
      </c>
    </row>
    <row r="887" spans="1:10" x14ac:dyDescent="0.3">
      <c r="A887" s="1">
        <v>45400</v>
      </c>
      <c r="B887">
        <v>889.37</v>
      </c>
      <c r="C887">
        <v>198.05</v>
      </c>
      <c r="D887">
        <v>5</v>
      </c>
      <c r="E887" s="2" t="s">
        <v>8</v>
      </c>
      <c r="F887" s="2" t="s">
        <v>9</v>
      </c>
      <c r="G887" s="2" t="s">
        <v>14</v>
      </c>
      <c r="H887" s="2" t="s">
        <v>15</v>
      </c>
      <c r="I887" s="2">
        <f t="shared" si="26"/>
        <v>691.31999999999994</v>
      </c>
      <c r="J887" s="2">
        <f t="shared" si="27"/>
        <v>3.4906336783640488</v>
      </c>
    </row>
    <row r="888" spans="1:10" x14ac:dyDescent="0.3">
      <c r="A888" s="1">
        <v>45400</v>
      </c>
      <c r="B888">
        <v>1248.1199999999999</v>
      </c>
      <c r="C888">
        <v>253.96</v>
      </c>
      <c r="D888">
        <v>3</v>
      </c>
      <c r="E888" s="2" t="s">
        <v>8</v>
      </c>
      <c r="F888" s="2" t="s">
        <v>17</v>
      </c>
      <c r="G888" s="2" t="s">
        <v>10</v>
      </c>
      <c r="H888" s="2" t="s">
        <v>18</v>
      </c>
      <c r="I888" s="2">
        <f t="shared" si="26"/>
        <v>994.15999999999985</v>
      </c>
      <c r="J888" s="2">
        <f t="shared" si="27"/>
        <v>3.9146322255473298</v>
      </c>
    </row>
    <row r="889" spans="1:10" x14ac:dyDescent="0.3">
      <c r="A889" s="1">
        <v>45372</v>
      </c>
      <c r="B889">
        <v>1026.93</v>
      </c>
      <c r="C889">
        <v>280.49</v>
      </c>
      <c r="D889">
        <v>10</v>
      </c>
      <c r="E889" s="2" t="s">
        <v>8</v>
      </c>
      <c r="F889" s="2" t="s">
        <v>9</v>
      </c>
      <c r="G889" s="2" t="s">
        <v>10</v>
      </c>
      <c r="H889" s="2" t="s">
        <v>18</v>
      </c>
      <c r="I889" s="2">
        <f t="shared" si="26"/>
        <v>746.44</v>
      </c>
      <c r="J889" s="2">
        <f t="shared" si="27"/>
        <v>2.6612000427822742</v>
      </c>
    </row>
    <row r="890" spans="1:10" x14ac:dyDescent="0.3">
      <c r="A890" s="1">
        <v>45401</v>
      </c>
      <c r="B890">
        <v>1368.76</v>
      </c>
      <c r="C890">
        <v>282.83</v>
      </c>
      <c r="D890">
        <v>8</v>
      </c>
      <c r="E890" s="2" t="s">
        <v>16</v>
      </c>
      <c r="F890" s="2" t="s">
        <v>17</v>
      </c>
      <c r="G890" s="2" t="s">
        <v>10</v>
      </c>
      <c r="H890" s="2" t="s">
        <v>15</v>
      </c>
      <c r="I890" s="2">
        <f t="shared" si="26"/>
        <v>1085.93</v>
      </c>
      <c r="J890" s="2">
        <f t="shared" si="27"/>
        <v>3.8395149029452327</v>
      </c>
    </row>
    <row r="891" spans="1:10" x14ac:dyDescent="0.3">
      <c r="A891" s="1">
        <v>45309</v>
      </c>
      <c r="B891">
        <v>1010.92</v>
      </c>
      <c r="C891">
        <v>159.91999999999999</v>
      </c>
      <c r="D891">
        <v>4</v>
      </c>
      <c r="E891" s="2" t="s">
        <v>13</v>
      </c>
      <c r="F891" s="2" t="s">
        <v>9</v>
      </c>
      <c r="G891" s="2" t="s">
        <v>10</v>
      </c>
      <c r="H891" s="2" t="s">
        <v>11</v>
      </c>
      <c r="I891" s="2">
        <f t="shared" si="26"/>
        <v>851</v>
      </c>
      <c r="J891" s="2">
        <f t="shared" si="27"/>
        <v>5.3214107053526769</v>
      </c>
    </row>
    <row r="892" spans="1:10" x14ac:dyDescent="0.3">
      <c r="A892" s="1">
        <v>45321</v>
      </c>
      <c r="B892">
        <v>205.92</v>
      </c>
      <c r="C892">
        <v>323.99</v>
      </c>
      <c r="D892">
        <v>1</v>
      </c>
      <c r="E892" s="2" t="s">
        <v>16</v>
      </c>
      <c r="F892" s="2" t="s">
        <v>9</v>
      </c>
      <c r="G892" s="2" t="s">
        <v>12</v>
      </c>
      <c r="H892" s="2" t="s">
        <v>18</v>
      </c>
      <c r="I892" s="2">
        <f t="shared" si="26"/>
        <v>-118.07000000000002</v>
      </c>
      <c r="J892" s="2">
        <f t="shared" si="27"/>
        <v>-0.36442482792678793</v>
      </c>
    </row>
    <row r="893" spans="1:10" x14ac:dyDescent="0.3">
      <c r="A893" s="1">
        <v>45305</v>
      </c>
      <c r="B893">
        <v>1105.3499999999999</v>
      </c>
      <c r="C893">
        <v>11.07</v>
      </c>
      <c r="D893">
        <v>1</v>
      </c>
      <c r="E893" s="2" t="s">
        <v>8</v>
      </c>
      <c r="F893" s="2" t="s">
        <v>9</v>
      </c>
      <c r="G893" s="2" t="s">
        <v>19</v>
      </c>
      <c r="H893" s="2" t="s">
        <v>18</v>
      </c>
      <c r="I893" s="2">
        <f t="shared" si="26"/>
        <v>1094.28</v>
      </c>
      <c r="J893" s="2">
        <f t="shared" si="27"/>
        <v>98.850948509485093</v>
      </c>
    </row>
    <row r="894" spans="1:10" x14ac:dyDescent="0.3">
      <c r="A894" s="1">
        <v>45320</v>
      </c>
      <c r="B894">
        <v>543.66999999999996</v>
      </c>
      <c r="C894">
        <v>327.14999999999998</v>
      </c>
      <c r="D894">
        <v>1</v>
      </c>
      <c r="E894" s="2" t="s">
        <v>16</v>
      </c>
      <c r="F894" s="2" t="s">
        <v>9</v>
      </c>
      <c r="G894" s="2" t="s">
        <v>12</v>
      </c>
      <c r="H894" s="2" t="s">
        <v>20</v>
      </c>
      <c r="I894" s="2">
        <f t="shared" si="26"/>
        <v>216.51999999999998</v>
      </c>
      <c r="J894" s="2">
        <f t="shared" si="27"/>
        <v>0.66183707779306122</v>
      </c>
    </row>
    <row r="895" spans="1:10" x14ac:dyDescent="0.3">
      <c r="A895" s="1">
        <v>45387</v>
      </c>
      <c r="B895">
        <v>1209.93</v>
      </c>
      <c r="C895">
        <v>65.680000000000007</v>
      </c>
      <c r="D895">
        <v>2</v>
      </c>
      <c r="E895" s="2" t="s">
        <v>8</v>
      </c>
      <c r="F895" s="2" t="s">
        <v>9</v>
      </c>
      <c r="G895" s="2" t="s">
        <v>19</v>
      </c>
      <c r="H895" s="2" t="s">
        <v>20</v>
      </c>
      <c r="I895" s="2">
        <f t="shared" si="26"/>
        <v>1144.25</v>
      </c>
      <c r="J895" s="2">
        <f t="shared" si="27"/>
        <v>17.421589524969548</v>
      </c>
    </row>
    <row r="896" spans="1:10" x14ac:dyDescent="0.3">
      <c r="A896" s="1">
        <v>45406</v>
      </c>
      <c r="B896">
        <v>208.33</v>
      </c>
      <c r="C896">
        <v>127.98</v>
      </c>
      <c r="D896">
        <v>9</v>
      </c>
      <c r="E896" s="2" t="s">
        <v>16</v>
      </c>
      <c r="F896" s="2" t="s">
        <v>17</v>
      </c>
      <c r="G896" s="2" t="s">
        <v>10</v>
      </c>
      <c r="H896" s="2" t="s">
        <v>11</v>
      </c>
      <c r="I896" s="2">
        <f t="shared" si="26"/>
        <v>80.350000000000009</v>
      </c>
      <c r="J896" s="2">
        <f t="shared" si="27"/>
        <v>0.62783247382403506</v>
      </c>
    </row>
    <row r="897" spans="1:10" x14ac:dyDescent="0.3">
      <c r="A897" s="1">
        <v>45396</v>
      </c>
      <c r="B897">
        <v>846.48</v>
      </c>
      <c r="C897">
        <v>261.81</v>
      </c>
      <c r="D897">
        <v>10</v>
      </c>
      <c r="E897" s="2" t="s">
        <v>13</v>
      </c>
      <c r="F897" s="2" t="s">
        <v>17</v>
      </c>
      <c r="G897" s="2" t="s">
        <v>19</v>
      </c>
      <c r="H897" s="2" t="s">
        <v>11</v>
      </c>
      <c r="I897" s="2">
        <f t="shared" si="26"/>
        <v>584.67000000000007</v>
      </c>
      <c r="J897" s="2">
        <f t="shared" si="27"/>
        <v>2.2331843703449068</v>
      </c>
    </row>
    <row r="898" spans="1:10" x14ac:dyDescent="0.3">
      <c r="A898" s="1">
        <v>45390</v>
      </c>
      <c r="B898">
        <v>505.79</v>
      </c>
      <c r="C898">
        <v>153.69999999999999</v>
      </c>
      <c r="D898">
        <v>5</v>
      </c>
      <c r="E898" s="2" t="s">
        <v>8</v>
      </c>
      <c r="F898" s="2" t="s">
        <v>9</v>
      </c>
      <c r="G898" s="2" t="s">
        <v>14</v>
      </c>
      <c r="H898" s="2" t="s">
        <v>15</v>
      </c>
      <c r="I898" s="2">
        <f t="shared" ref="I898:I961" si="28">B898-C898</f>
        <v>352.09000000000003</v>
      </c>
      <c r="J898" s="2">
        <f t="shared" ref="J898:J961" si="29">IF(C898=0,0,I898/C898)</f>
        <v>2.2907612231620043</v>
      </c>
    </row>
    <row r="899" spans="1:10" x14ac:dyDescent="0.3">
      <c r="A899" s="1">
        <v>45299</v>
      </c>
      <c r="B899">
        <v>828.11</v>
      </c>
      <c r="C899">
        <v>139.66</v>
      </c>
      <c r="D899">
        <v>8</v>
      </c>
      <c r="E899" s="2" t="s">
        <v>8</v>
      </c>
      <c r="F899" s="2" t="s">
        <v>17</v>
      </c>
      <c r="G899" s="2" t="s">
        <v>10</v>
      </c>
      <c r="H899" s="2" t="s">
        <v>15</v>
      </c>
      <c r="I899" s="2">
        <f t="shared" si="28"/>
        <v>688.45</v>
      </c>
      <c r="J899" s="2">
        <f t="shared" si="29"/>
        <v>4.9294715738221395</v>
      </c>
    </row>
    <row r="900" spans="1:10" x14ac:dyDescent="0.3">
      <c r="A900" s="1">
        <v>45355</v>
      </c>
      <c r="B900">
        <v>89.75</v>
      </c>
      <c r="C900">
        <v>369.79</v>
      </c>
      <c r="D900">
        <v>1</v>
      </c>
      <c r="E900" s="2" t="s">
        <v>16</v>
      </c>
      <c r="F900" s="2" t="s">
        <v>9</v>
      </c>
      <c r="G900" s="2" t="s">
        <v>12</v>
      </c>
      <c r="H900" s="2" t="s">
        <v>18</v>
      </c>
      <c r="I900" s="2">
        <f t="shared" si="28"/>
        <v>-280.04000000000002</v>
      </c>
      <c r="J900" s="2">
        <f t="shared" si="29"/>
        <v>-0.75729468076475837</v>
      </c>
    </row>
    <row r="901" spans="1:10" x14ac:dyDescent="0.3">
      <c r="A901" s="1">
        <v>45379</v>
      </c>
      <c r="B901">
        <v>170.9</v>
      </c>
      <c r="C901">
        <v>479.36</v>
      </c>
      <c r="D901">
        <v>1</v>
      </c>
      <c r="E901" s="2" t="s">
        <v>8</v>
      </c>
      <c r="F901" s="2" t="s">
        <v>17</v>
      </c>
      <c r="G901" s="2" t="s">
        <v>12</v>
      </c>
      <c r="H901" s="2" t="s">
        <v>11</v>
      </c>
      <c r="I901" s="2">
        <f t="shared" si="28"/>
        <v>-308.46000000000004</v>
      </c>
      <c r="J901" s="2">
        <f t="shared" si="29"/>
        <v>-0.6434829773030708</v>
      </c>
    </row>
    <row r="902" spans="1:10" x14ac:dyDescent="0.3">
      <c r="A902" s="1">
        <v>45345</v>
      </c>
      <c r="B902">
        <v>743.8</v>
      </c>
      <c r="C902">
        <v>225.79</v>
      </c>
      <c r="D902">
        <v>2</v>
      </c>
      <c r="E902" s="2" t="s">
        <v>13</v>
      </c>
      <c r="F902" s="2" t="s">
        <v>17</v>
      </c>
      <c r="G902" s="2" t="s">
        <v>12</v>
      </c>
      <c r="H902" s="2" t="s">
        <v>15</v>
      </c>
      <c r="I902" s="2">
        <f t="shared" si="28"/>
        <v>518.01</v>
      </c>
      <c r="J902" s="2">
        <f t="shared" si="29"/>
        <v>2.2942114354045797</v>
      </c>
    </row>
    <row r="903" spans="1:10" x14ac:dyDescent="0.3">
      <c r="A903" s="1">
        <v>45402</v>
      </c>
      <c r="B903">
        <v>1485.94</v>
      </c>
      <c r="C903">
        <v>91.9</v>
      </c>
      <c r="D903">
        <v>8</v>
      </c>
      <c r="E903" s="2" t="s">
        <v>8</v>
      </c>
      <c r="F903" s="2" t="s">
        <v>9</v>
      </c>
      <c r="G903" s="2" t="s">
        <v>10</v>
      </c>
      <c r="H903" s="2" t="s">
        <v>15</v>
      </c>
      <c r="I903" s="2">
        <f t="shared" si="28"/>
        <v>1394.04</v>
      </c>
      <c r="J903" s="2">
        <f t="shared" si="29"/>
        <v>15.169096844396082</v>
      </c>
    </row>
    <row r="904" spans="1:10" x14ac:dyDescent="0.3">
      <c r="A904" s="1">
        <v>45393</v>
      </c>
      <c r="B904">
        <v>737.93</v>
      </c>
      <c r="C904">
        <v>496.92</v>
      </c>
      <c r="D904">
        <v>3</v>
      </c>
      <c r="E904" s="2" t="s">
        <v>16</v>
      </c>
      <c r="F904" s="2" t="s">
        <v>17</v>
      </c>
      <c r="G904" s="2" t="s">
        <v>14</v>
      </c>
      <c r="H904" s="2" t="s">
        <v>15</v>
      </c>
      <c r="I904" s="2">
        <f t="shared" si="28"/>
        <v>241.00999999999993</v>
      </c>
      <c r="J904" s="2">
        <f t="shared" si="29"/>
        <v>0.48500764710617389</v>
      </c>
    </row>
    <row r="905" spans="1:10" x14ac:dyDescent="0.3">
      <c r="A905" s="1">
        <v>45410</v>
      </c>
      <c r="B905">
        <v>518.64</v>
      </c>
      <c r="C905">
        <v>343.54</v>
      </c>
      <c r="D905">
        <v>9</v>
      </c>
      <c r="E905" s="2" t="s">
        <v>8</v>
      </c>
      <c r="F905" s="2" t="s">
        <v>9</v>
      </c>
      <c r="G905" s="2" t="s">
        <v>12</v>
      </c>
      <c r="H905" s="2" t="s">
        <v>11</v>
      </c>
      <c r="I905" s="2">
        <f t="shared" si="28"/>
        <v>175.09999999999997</v>
      </c>
      <c r="J905" s="2">
        <f t="shared" si="29"/>
        <v>0.50969319438784411</v>
      </c>
    </row>
    <row r="906" spans="1:10" x14ac:dyDescent="0.3">
      <c r="A906" s="1">
        <v>45391</v>
      </c>
      <c r="B906">
        <v>735.12</v>
      </c>
      <c r="C906">
        <v>49.75</v>
      </c>
      <c r="D906">
        <v>7</v>
      </c>
      <c r="E906" s="2" t="s">
        <v>16</v>
      </c>
      <c r="F906" s="2" t="s">
        <v>9</v>
      </c>
      <c r="G906" s="2" t="s">
        <v>19</v>
      </c>
      <c r="H906" s="2" t="s">
        <v>11</v>
      </c>
      <c r="I906" s="2">
        <f t="shared" si="28"/>
        <v>685.37</v>
      </c>
      <c r="J906" s="2">
        <f t="shared" si="29"/>
        <v>13.776281407035176</v>
      </c>
    </row>
    <row r="907" spans="1:10" x14ac:dyDescent="0.3">
      <c r="A907" s="1">
        <v>45334</v>
      </c>
      <c r="B907">
        <v>108.95</v>
      </c>
      <c r="C907">
        <v>258.67</v>
      </c>
      <c r="D907">
        <v>8</v>
      </c>
      <c r="E907" s="2" t="s">
        <v>8</v>
      </c>
      <c r="F907" s="2" t="s">
        <v>9</v>
      </c>
      <c r="G907" s="2" t="s">
        <v>19</v>
      </c>
      <c r="H907" s="2" t="s">
        <v>18</v>
      </c>
      <c r="I907" s="2">
        <f t="shared" si="28"/>
        <v>-149.72000000000003</v>
      </c>
      <c r="J907" s="2">
        <f t="shared" si="29"/>
        <v>-0.57880697413693127</v>
      </c>
    </row>
    <row r="908" spans="1:10" x14ac:dyDescent="0.3">
      <c r="A908" s="1">
        <v>45321</v>
      </c>
      <c r="B908">
        <v>986.34</v>
      </c>
      <c r="C908">
        <v>360.86</v>
      </c>
      <c r="D908">
        <v>1</v>
      </c>
      <c r="E908" s="2" t="s">
        <v>13</v>
      </c>
      <c r="F908" s="2" t="s">
        <v>17</v>
      </c>
      <c r="G908" s="2" t="s">
        <v>14</v>
      </c>
      <c r="H908" s="2" t="s">
        <v>11</v>
      </c>
      <c r="I908" s="2">
        <f t="shared" si="28"/>
        <v>625.48</v>
      </c>
      <c r="J908" s="2">
        <f t="shared" si="29"/>
        <v>1.7333037743169095</v>
      </c>
    </row>
    <row r="909" spans="1:10" x14ac:dyDescent="0.3">
      <c r="A909" s="1">
        <v>45385</v>
      </c>
      <c r="B909">
        <v>903.34</v>
      </c>
      <c r="C909">
        <v>171.48</v>
      </c>
      <c r="D909">
        <v>3</v>
      </c>
      <c r="E909" s="2" t="s">
        <v>8</v>
      </c>
      <c r="F909" s="2" t="s">
        <v>17</v>
      </c>
      <c r="G909" s="2" t="s">
        <v>12</v>
      </c>
      <c r="H909" s="2" t="s">
        <v>15</v>
      </c>
      <c r="I909" s="2">
        <f t="shared" si="28"/>
        <v>731.86</v>
      </c>
      <c r="J909" s="2">
        <f t="shared" si="29"/>
        <v>4.2679029624445999</v>
      </c>
    </row>
    <row r="910" spans="1:10" x14ac:dyDescent="0.3">
      <c r="A910" s="1">
        <v>45400</v>
      </c>
      <c r="B910">
        <v>341.98</v>
      </c>
      <c r="C910">
        <v>375.52</v>
      </c>
      <c r="D910">
        <v>8</v>
      </c>
      <c r="E910" s="2" t="s">
        <v>16</v>
      </c>
      <c r="F910" s="2" t="s">
        <v>17</v>
      </c>
      <c r="G910" s="2" t="s">
        <v>12</v>
      </c>
      <c r="H910" s="2" t="s">
        <v>15</v>
      </c>
      <c r="I910" s="2">
        <f t="shared" si="28"/>
        <v>-33.539999999999964</v>
      </c>
      <c r="J910" s="2">
        <f t="shared" si="29"/>
        <v>-8.9316148274392743E-2</v>
      </c>
    </row>
    <row r="911" spans="1:10" x14ac:dyDescent="0.3">
      <c r="A911" s="1">
        <v>45407</v>
      </c>
      <c r="B911">
        <v>350.78</v>
      </c>
      <c r="C911">
        <v>207.49</v>
      </c>
      <c r="D911">
        <v>0</v>
      </c>
      <c r="E911" s="2" t="s">
        <v>8</v>
      </c>
      <c r="F911" s="2" t="s">
        <v>17</v>
      </c>
      <c r="G911" s="2" t="s">
        <v>10</v>
      </c>
      <c r="H911" s="2" t="s">
        <v>20</v>
      </c>
      <c r="I911" s="2">
        <f t="shared" si="28"/>
        <v>143.28999999999996</v>
      </c>
      <c r="J911" s="2">
        <f t="shared" si="29"/>
        <v>0.69058749819268372</v>
      </c>
    </row>
    <row r="912" spans="1:10" x14ac:dyDescent="0.3">
      <c r="A912" s="1">
        <v>45406</v>
      </c>
      <c r="B912">
        <v>1060.52</v>
      </c>
      <c r="C912">
        <v>371.2</v>
      </c>
      <c r="D912">
        <v>10</v>
      </c>
      <c r="E912" s="2" t="s">
        <v>13</v>
      </c>
      <c r="F912" s="2" t="s">
        <v>17</v>
      </c>
      <c r="G912" s="2" t="s">
        <v>10</v>
      </c>
      <c r="H912" s="2" t="s">
        <v>18</v>
      </c>
      <c r="I912" s="2">
        <f t="shared" si="28"/>
        <v>689.31999999999994</v>
      </c>
      <c r="J912" s="2">
        <f t="shared" si="29"/>
        <v>1.8570043103448275</v>
      </c>
    </row>
    <row r="913" spans="1:10" x14ac:dyDescent="0.3">
      <c r="A913" s="1">
        <v>45298</v>
      </c>
      <c r="B913">
        <v>871.53</v>
      </c>
      <c r="C913">
        <v>343.17</v>
      </c>
      <c r="D913">
        <v>4</v>
      </c>
      <c r="E913" s="2" t="s">
        <v>8</v>
      </c>
      <c r="F913" s="2" t="s">
        <v>17</v>
      </c>
      <c r="G913" s="2" t="s">
        <v>12</v>
      </c>
      <c r="H913" s="2" t="s">
        <v>20</v>
      </c>
      <c r="I913" s="2">
        <f t="shared" si="28"/>
        <v>528.3599999999999</v>
      </c>
      <c r="J913" s="2">
        <f t="shared" si="29"/>
        <v>1.5396450738700931</v>
      </c>
    </row>
    <row r="914" spans="1:10" x14ac:dyDescent="0.3">
      <c r="A914" s="1">
        <v>45326</v>
      </c>
      <c r="B914">
        <v>889.71</v>
      </c>
      <c r="C914">
        <v>381.65</v>
      </c>
      <c r="D914">
        <v>4</v>
      </c>
      <c r="E914" s="2" t="s">
        <v>16</v>
      </c>
      <c r="F914" s="2" t="s">
        <v>17</v>
      </c>
      <c r="G914" s="2" t="s">
        <v>19</v>
      </c>
      <c r="H914" s="2" t="s">
        <v>18</v>
      </c>
      <c r="I914" s="2">
        <f t="shared" si="28"/>
        <v>508.06000000000006</v>
      </c>
      <c r="J914" s="2">
        <f t="shared" si="29"/>
        <v>1.3312197039172018</v>
      </c>
    </row>
    <row r="915" spans="1:10" x14ac:dyDescent="0.3">
      <c r="A915" s="1">
        <v>45346</v>
      </c>
      <c r="B915">
        <v>113.38</v>
      </c>
      <c r="C915">
        <v>230.95</v>
      </c>
      <c r="D915">
        <v>0</v>
      </c>
      <c r="E915" s="2" t="s">
        <v>13</v>
      </c>
      <c r="F915" s="2" t="s">
        <v>9</v>
      </c>
      <c r="G915" s="2" t="s">
        <v>14</v>
      </c>
      <c r="H915" s="2" t="s">
        <v>20</v>
      </c>
      <c r="I915" s="2">
        <f t="shared" si="28"/>
        <v>-117.57</v>
      </c>
      <c r="J915" s="2">
        <f t="shared" si="29"/>
        <v>-0.50907122753842826</v>
      </c>
    </row>
    <row r="916" spans="1:10" x14ac:dyDescent="0.3">
      <c r="A916" s="1">
        <v>45411</v>
      </c>
      <c r="B916">
        <v>823.57</v>
      </c>
      <c r="C916">
        <v>119.32</v>
      </c>
      <c r="D916">
        <v>8</v>
      </c>
      <c r="E916" s="2" t="s">
        <v>8</v>
      </c>
      <c r="F916" s="2" t="s">
        <v>9</v>
      </c>
      <c r="G916" s="2" t="s">
        <v>12</v>
      </c>
      <c r="H916" s="2" t="s">
        <v>11</v>
      </c>
      <c r="I916" s="2">
        <f t="shared" si="28"/>
        <v>704.25</v>
      </c>
      <c r="J916" s="2">
        <f t="shared" si="29"/>
        <v>5.9021957760643646</v>
      </c>
    </row>
    <row r="917" spans="1:10" x14ac:dyDescent="0.3">
      <c r="A917" s="1">
        <v>45379</v>
      </c>
      <c r="B917">
        <v>124.12</v>
      </c>
      <c r="C917">
        <v>186.79</v>
      </c>
      <c r="D917">
        <v>0</v>
      </c>
      <c r="E917" s="2" t="s">
        <v>13</v>
      </c>
      <c r="F917" s="2" t="s">
        <v>9</v>
      </c>
      <c r="G917" s="2" t="s">
        <v>19</v>
      </c>
      <c r="H917" s="2" t="s">
        <v>20</v>
      </c>
      <c r="I917" s="2">
        <f t="shared" si="28"/>
        <v>-62.669999999999987</v>
      </c>
      <c r="J917" s="2">
        <f t="shared" si="29"/>
        <v>-0.33551046629905235</v>
      </c>
    </row>
    <row r="918" spans="1:10" x14ac:dyDescent="0.3">
      <c r="A918" s="1">
        <v>45383</v>
      </c>
      <c r="B918">
        <v>227.44</v>
      </c>
      <c r="C918">
        <v>380.83</v>
      </c>
      <c r="D918">
        <v>0</v>
      </c>
      <c r="E918" s="2" t="s">
        <v>16</v>
      </c>
      <c r="F918" s="2" t="s">
        <v>9</v>
      </c>
      <c r="G918" s="2" t="s">
        <v>12</v>
      </c>
      <c r="H918" s="2" t="s">
        <v>11</v>
      </c>
      <c r="I918" s="2">
        <f t="shared" si="28"/>
        <v>-153.38999999999999</v>
      </c>
      <c r="J918" s="2">
        <f t="shared" si="29"/>
        <v>-0.40277814247827115</v>
      </c>
    </row>
    <row r="919" spans="1:10" x14ac:dyDescent="0.3">
      <c r="A919" s="1">
        <v>45333</v>
      </c>
      <c r="B919">
        <v>905.49</v>
      </c>
      <c r="C919">
        <v>481</v>
      </c>
      <c r="D919">
        <v>2</v>
      </c>
      <c r="E919" s="2" t="s">
        <v>13</v>
      </c>
      <c r="F919" s="2" t="s">
        <v>9</v>
      </c>
      <c r="G919" s="2" t="s">
        <v>10</v>
      </c>
      <c r="H919" s="2" t="s">
        <v>20</v>
      </c>
      <c r="I919" s="2">
        <f t="shared" si="28"/>
        <v>424.49</v>
      </c>
      <c r="J919" s="2">
        <f t="shared" si="29"/>
        <v>0.88251559251559253</v>
      </c>
    </row>
    <row r="920" spans="1:10" x14ac:dyDescent="0.3">
      <c r="A920" s="1">
        <v>45314</v>
      </c>
      <c r="B920">
        <v>1088.7</v>
      </c>
      <c r="C920">
        <v>20.04</v>
      </c>
      <c r="D920">
        <v>10</v>
      </c>
      <c r="E920" s="2" t="s">
        <v>8</v>
      </c>
      <c r="F920" s="2" t="s">
        <v>9</v>
      </c>
      <c r="G920" s="2" t="s">
        <v>19</v>
      </c>
      <c r="H920" s="2" t="s">
        <v>15</v>
      </c>
      <c r="I920" s="2">
        <f t="shared" si="28"/>
        <v>1068.6600000000001</v>
      </c>
      <c r="J920" s="2">
        <f t="shared" si="29"/>
        <v>53.326347305389227</v>
      </c>
    </row>
    <row r="921" spans="1:10" x14ac:dyDescent="0.3">
      <c r="A921" s="1">
        <v>45293</v>
      </c>
      <c r="B921">
        <v>1420.81</v>
      </c>
      <c r="C921">
        <v>323.83</v>
      </c>
      <c r="D921">
        <v>1</v>
      </c>
      <c r="E921" s="2" t="s">
        <v>16</v>
      </c>
      <c r="F921" s="2" t="s">
        <v>9</v>
      </c>
      <c r="G921" s="2" t="s">
        <v>19</v>
      </c>
      <c r="H921" s="2" t="s">
        <v>15</v>
      </c>
      <c r="I921" s="2">
        <f t="shared" si="28"/>
        <v>1096.98</v>
      </c>
      <c r="J921" s="2">
        <f t="shared" si="29"/>
        <v>3.3875181422351237</v>
      </c>
    </row>
    <row r="922" spans="1:10" x14ac:dyDescent="0.3">
      <c r="A922" s="1">
        <v>45383</v>
      </c>
      <c r="B922">
        <v>384.21</v>
      </c>
      <c r="C922">
        <v>54.07</v>
      </c>
      <c r="D922">
        <v>6</v>
      </c>
      <c r="E922" s="2" t="s">
        <v>16</v>
      </c>
      <c r="F922" s="2" t="s">
        <v>9</v>
      </c>
      <c r="G922" s="2" t="s">
        <v>10</v>
      </c>
      <c r="H922" s="2" t="s">
        <v>11</v>
      </c>
      <c r="I922" s="2">
        <f t="shared" si="28"/>
        <v>330.14</v>
      </c>
      <c r="J922" s="2">
        <f t="shared" si="29"/>
        <v>6.105788792306269</v>
      </c>
    </row>
    <row r="923" spans="1:10" x14ac:dyDescent="0.3">
      <c r="A923" s="1">
        <v>45365</v>
      </c>
      <c r="B923">
        <v>851.14</v>
      </c>
      <c r="C923">
        <v>369.68</v>
      </c>
      <c r="D923">
        <v>5</v>
      </c>
      <c r="E923" s="2" t="s">
        <v>13</v>
      </c>
      <c r="F923" s="2" t="s">
        <v>9</v>
      </c>
      <c r="G923" s="2" t="s">
        <v>12</v>
      </c>
      <c r="H923" s="2" t="s">
        <v>11</v>
      </c>
      <c r="I923" s="2">
        <f t="shared" si="28"/>
        <v>481.46</v>
      </c>
      <c r="J923" s="2">
        <f t="shared" si="29"/>
        <v>1.3023696169660246</v>
      </c>
    </row>
    <row r="924" spans="1:10" x14ac:dyDescent="0.3">
      <c r="A924" s="1">
        <v>45309</v>
      </c>
      <c r="B924">
        <v>1290.1099999999999</v>
      </c>
      <c r="C924">
        <v>388.83</v>
      </c>
      <c r="D924">
        <v>0</v>
      </c>
      <c r="E924" s="2" t="s">
        <v>8</v>
      </c>
      <c r="F924" s="2" t="s">
        <v>9</v>
      </c>
      <c r="G924" s="2" t="s">
        <v>10</v>
      </c>
      <c r="H924" s="2" t="s">
        <v>20</v>
      </c>
      <c r="I924" s="2">
        <f t="shared" si="28"/>
        <v>901.28</v>
      </c>
      <c r="J924" s="2">
        <f t="shared" si="29"/>
        <v>2.3179281434045729</v>
      </c>
    </row>
    <row r="925" spans="1:10" x14ac:dyDescent="0.3">
      <c r="A925" s="1">
        <v>45342</v>
      </c>
      <c r="B925">
        <v>1379.56</v>
      </c>
      <c r="C925">
        <v>485.44</v>
      </c>
      <c r="D925">
        <v>6</v>
      </c>
      <c r="E925" s="2" t="s">
        <v>13</v>
      </c>
      <c r="F925" s="2" t="s">
        <v>9</v>
      </c>
      <c r="G925" s="2" t="s">
        <v>19</v>
      </c>
      <c r="H925" s="2" t="s">
        <v>20</v>
      </c>
      <c r="I925" s="2">
        <f t="shared" si="28"/>
        <v>894.11999999999989</v>
      </c>
      <c r="J925" s="2">
        <f t="shared" si="29"/>
        <v>1.841875411997363</v>
      </c>
    </row>
    <row r="926" spans="1:10" x14ac:dyDescent="0.3">
      <c r="A926" s="1">
        <v>45356</v>
      </c>
      <c r="B926">
        <v>919.93</v>
      </c>
      <c r="C926">
        <v>226.66</v>
      </c>
      <c r="D926">
        <v>6</v>
      </c>
      <c r="E926" s="2" t="s">
        <v>16</v>
      </c>
      <c r="F926" s="2" t="s">
        <v>17</v>
      </c>
      <c r="G926" s="2" t="s">
        <v>14</v>
      </c>
      <c r="H926" s="2" t="s">
        <v>20</v>
      </c>
      <c r="I926" s="2">
        <f t="shared" si="28"/>
        <v>693.27</v>
      </c>
      <c r="J926" s="2">
        <f t="shared" si="29"/>
        <v>3.0586340774728669</v>
      </c>
    </row>
    <row r="927" spans="1:10" x14ac:dyDescent="0.3">
      <c r="A927" s="1">
        <v>45400</v>
      </c>
      <c r="B927">
        <v>227.12</v>
      </c>
      <c r="C927">
        <v>463.28</v>
      </c>
      <c r="D927">
        <v>1</v>
      </c>
      <c r="E927" s="2" t="s">
        <v>16</v>
      </c>
      <c r="F927" s="2" t="s">
        <v>9</v>
      </c>
      <c r="G927" s="2" t="s">
        <v>19</v>
      </c>
      <c r="H927" s="2" t="s">
        <v>11</v>
      </c>
      <c r="I927" s="2">
        <f t="shared" si="28"/>
        <v>-236.15999999999997</v>
      </c>
      <c r="J927" s="2">
        <f t="shared" si="29"/>
        <v>-0.50975651873596961</v>
      </c>
    </row>
    <row r="928" spans="1:10" x14ac:dyDescent="0.3">
      <c r="A928" s="1">
        <v>45324</v>
      </c>
      <c r="B928">
        <v>565.86</v>
      </c>
      <c r="C928">
        <v>418.28</v>
      </c>
      <c r="D928">
        <v>1</v>
      </c>
      <c r="E928" s="2" t="s">
        <v>8</v>
      </c>
      <c r="F928" s="2" t="s">
        <v>9</v>
      </c>
      <c r="G928" s="2" t="s">
        <v>14</v>
      </c>
      <c r="H928" s="2" t="s">
        <v>18</v>
      </c>
      <c r="I928" s="2">
        <f t="shared" si="28"/>
        <v>147.58000000000004</v>
      </c>
      <c r="J928" s="2">
        <f t="shared" si="29"/>
        <v>0.35282585827675256</v>
      </c>
    </row>
    <row r="929" spans="1:10" x14ac:dyDescent="0.3">
      <c r="A929" s="1">
        <v>45376</v>
      </c>
      <c r="B929">
        <v>1222.45</v>
      </c>
      <c r="C929">
        <v>120.5</v>
      </c>
      <c r="D929">
        <v>10</v>
      </c>
      <c r="E929" s="2" t="s">
        <v>16</v>
      </c>
      <c r="F929" s="2" t="s">
        <v>9</v>
      </c>
      <c r="G929" s="2" t="s">
        <v>12</v>
      </c>
      <c r="H929" s="2" t="s">
        <v>11</v>
      </c>
      <c r="I929" s="2">
        <f t="shared" si="28"/>
        <v>1101.95</v>
      </c>
      <c r="J929" s="2">
        <f t="shared" si="29"/>
        <v>9.1448132780083</v>
      </c>
    </row>
    <row r="930" spans="1:10" x14ac:dyDescent="0.3">
      <c r="A930" s="1">
        <v>45340</v>
      </c>
      <c r="B930">
        <v>1355.42</v>
      </c>
      <c r="C930">
        <v>447.7</v>
      </c>
      <c r="D930">
        <v>7</v>
      </c>
      <c r="E930" s="2" t="s">
        <v>13</v>
      </c>
      <c r="F930" s="2" t="s">
        <v>17</v>
      </c>
      <c r="G930" s="2" t="s">
        <v>10</v>
      </c>
      <c r="H930" s="2" t="s">
        <v>18</v>
      </c>
      <c r="I930" s="2">
        <f t="shared" si="28"/>
        <v>907.72</v>
      </c>
      <c r="J930" s="2">
        <f t="shared" si="29"/>
        <v>2.0275184275184275</v>
      </c>
    </row>
    <row r="931" spans="1:10" x14ac:dyDescent="0.3">
      <c r="A931" s="1">
        <v>45350</v>
      </c>
      <c r="B931">
        <v>346.61</v>
      </c>
      <c r="C931">
        <v>200.22</v>
      </c>
      <c r="D931">
        <v>9</v>
      </c>
      <c r="E931" s="2" t="s">
        <v>16</v>
      </c>
      <c r="F931" s="2" t="s">
        <v>17</v>
      </c>
      <c r="G931" s="2" t="s">
        <v>10</v>
      </c>
      <c r="H931" s="2" t="s">
        <v>18</v>
      </c>
      <c r="I931" s="2">
        <f t="shared" si="28"/>
        <v>146.39000000000001</v>
      </c>
      <c r="J931" s="2">
        <f t="shared" si="29"/>
        <v>0.73114573968634511</v>
      </c>
    </row>
    <row r="932" spans="1:10" x14ac:dyDescent="0.3">
      <c r="A932" s="1">
        <v>45387</v>
      </c>
      <c r="B932">
        <v>1236.7</v>
      </c>
      <c r="C932">
        <v>304.66000000000003</v>
      </c>
      <c r="D932">
        <v>1</v>
      </c>
      <c r="E932" s="2" t="s">
        <v>13</v>
      </c>
      <c r="F932" s="2" t="s">
        <v>9</v>
      </c>
      <c r="G932" s="2" t="s">
        <v>10</v>
      </c>
      <c r="H932" s="2" t="s">
        <v>20</v>
      </c>
      <c r="I932" s="2">
        <f t="shared" si="28"/>
        <v>932.04</v>
      </c>
      <c r="J932" s="2">
        <f t="shared" si="29"/>
        <v>3.0592791964813233</v>
      </c>
    </row>
    <row r="933" spans="1:10" x14ac:dyDescent="0.3">
      <c r="A933" s="1">
        <v>45342</v>
      </c>
      <c r="B933">
        <v>1443.59</v>
      </c>
      <c r="C933">
        <v>258.60000000000002</v>
      </c>
      <c r="D933">
        <v>5</v>
      </c>
      <c r="E933" s="2" t="s">
        <v>8</v>
      </c>
      <c r="F933" s="2" t="s">
        <v>17</v>
      </c>
      <c r="G933" s="2" t="s">
        <v>19</v>
      </c>
      <c r="H933" s="2" t="s">
        <v>15</v>
      </c>
      <c r="I933" s="2">
        <f t="shared" si="28"/>
        <v>1184.9899999999998</v>
      </c>
      <c r="J933" s="2">
        <f t="shared" si="29"/>
        <v>4.5823279195668976</v>
      </c>
    </row>
    <row r="934" spans="1:10" x14ac:dyDescent="0.3">
      <c r="A934" s="1">
        <v>45337</v>
      </c>
      <c r="B934">
        <v>586.96</v>
      </c>
      <c r="C934">
        <v>58.5</v>
      </c>
      <c r="D934">
        <v>2</v>
      </c>
      <c r="E934" s="2" t="s">
        <v>16</v>
      </c>
      <c r="F934" s="2" t="s">
        <v>9</v>
      </c>
      <c r="G934" s="2" t="s">
        <v>19</v>
      </c>
      <c r="H934" s="2" t="s">
        <v>20</v>
      </c>
      <c r="I934" s="2">
        <f t="shared" si="28"/>
        <v>528.46</v>
      </c>
      <c r="J934" s="2">
        <f t="shared" si="29"/>
        <v>9.0335042735042741</v>
      </c>
    </row>
    <row r="935" spans="1:10" x14ac:dyDescent="0.3">
      <c r="A935" s="1">
        <v>45384</v>
      </c>
      <c r="B935">
        <v>1372.27</v>
      </c>
      <c r="C935">
        <v>161.02000000000001</v>
      </c>
      <c r="D935">
        <v>3</v>
      </c>
      <c r="E935" s="2" t="s">
        <v>8</v>
      </c>
      <c r="F935" s="2" t="s">
        <v>9</v>
      </c>
      <c r="G935" s="2" t="s">
        <v>12</v>
      </c>
      <c r="H935" s="2" t="s">
        <v>11</v>
      </c>
      <c r="I935" s="2">
        <f t="shared" si="28"/>
        <v>1211.25</v>
      </c>
      <c r="J935" s="2">
        <f t="shared" si="29"/>
        <v>7.522357471121599</v>
      </c>
    </row>
    <row r="936" spans="1:10" x14ac:dyDescent="0.3">
      <c r="A936" s="1">
        <v>45390</v>
      </c>
      <c r="B936">
        <v>1163.42</v>
      </c>
      <c r="C936">
        <v>436.81</v>
      </c>
      <c r="D936">
        <v>3</v>
      </c>
      <c r="E936" s="2" t="s">
        <v>13</v>
      </c>
      <c r="F936" s="2" t="s">
        <v>9</v>
      </c>
      <c r="G936" s="2" t="s">
        <v>19</v>
      </c>
      <c r="H936" s="2" t="s">
        <v>18</v>
      </c>
      <c r="I936" s="2">
        <f t="shared" si="28"/>
        <v>726.61000000000013</v>
      </c>
      <c r="J936" s="2">
        <f t="shared" si="29"/>
        <v>1.6634463496714822</v>
      </c>
    </row>
    <row r="937" spans="1:10" x14ac:dyDescent="0.3">
      <c r="A937" s="1">
        <v>45338</v>
      </c>
      <c r="B937">
        <v>703.57</v>
      </c>
      <c r="C937">
        <v>75.97</v>
      </c>
      <c r="D937">
        <v>9</v>
      </c>
      <c r="E937" s="2" t="s">
        <v>8</v>
      </c>
      <c r="F937" s="2" t="s">
        <v>17</v>
      </c>
      <c r="G937" s="2" t="s">
        <v>12</v>
      </c>
      <c r="H937" s="2" t="s">
        <v>15</v>
      </c>
      <c r="I937" s="2">
        <f t="shared" si="28"/>
        <v>627.6</v>
      </c>
      <c r="J937" s="2">
        <f t="shared" si="29"/>
        <v>8.2611557193629075</v>
      </c>
    </row>
    <row r="938" spans="1:10" x14ac:dyDescent="0.3">
      <c r="A938" s="1">
        <v>45383</v>
      </c>
      <c r="B938">
        <v>1292.53</v>
      </c>
      <c r="C938">
        <v>340.02</v>
      </c>
      <c r="D938">
        <v>8</v>
      </c>
      <c r="E938" s="2" t="s">
        <v>16</v>
      </c>
      <c r="F938" s="2" t="s">
        <v>9</v>
      </c>
      <c r="G938" s="2" t="s">
        <v>19</v>
      </c>
      <c r="H938" s="2" t="s">
        <v>11</v>
      </c>
      <c r="I938" s="2">
        <f t="shared" si="28"/>
        <v>952.51</v>
      </c>
      <c r="J938" s="2">
        <f t="shared" si="29"/>
        <v>2.8013352155755546</v>
      </c>
    </row>
    <row r="939" spans="1:10" x14ac:dyDescent="0.3">
      <c r="A939" s="1">
        <v>45327</v>
      </c>
      <c r="B939">
        <v>142.13999999999999</v>
      </c>
      <c r="C939">
        <v>109.3</v>
      </c>
      <c r="D939">
        <v>6</v>
      </c>
      <c r="E939" s="2" t="s">
        <v>13</v>
      </c>
      <c r="F939" s="2" t="s">
        <v>9</v>
      </c>
      <c r="G939" s="2" t="s">
        <v>12</v>
      </c>
      <c r="H939" s="2" t="s">
        <v>18</v>
      </c>
      <c r="I939" s="2">
        <f t="shared" si="28"/>
        <v>32.839999999999989</v>
      </c>
      <c r="J939" s="2">
        <f t="shared" si="29"/>
        <v>0.30045745654162848</v>
      </c>
    </row>
    <row r="940" spans="1:10" x14ac:dyDescent="0.3">
      <c r="A940" s="1">
        <v>45392</v>
      </c>
      <c r="B940">
        <v>796.1</v>
      </c>
      <c r="C940">
        <v>399.66</v>
      </c>
      <c r="D940">
        <v>3</v>
      </c>
      <c r="E940" s="2" t="s">
        <v>8</v>
      </c>
      <c r="F940" s="2" t="s">
        <v>9</v>
      </c>
      <c r="G940" s="2" t="s">
        <v>10</v>
      </c>
      <c r="H940" s="2" t="s">
        <v>11</v>
      </c>
      <c r="I940" s="2">
        <f t="shared" si="28"/>
        <v>396.44</v>
      </c>
      <c r="J940" s="2">
        <f t="shared" si="29"/>
        <v>0.99194315167892699</v>
      </c>
    </row>
    <row r="941" spans="1:10" x14ac:dyDescent="0.3">
      <c r="A941" s="1">
        <v>45318</v>
      </c>
      <c r="B941">
        <v>264.48</v>
      </c>
      <c r="C941">
        <v>28.95</v>
      </c>
      <c r="D941">
        <v>2</v>
      </c>
      <c r="E941" s="2" t="s">
        <v>13</v>
      </c>
      <c r="F941" s="2" t="s">
        <v>17</v>
      </c>
      <c r="G941" s="2" t="s">
        <v>19</v>
      </c>
      <c r="H941" s="2" t="s">
        <v>18</v>
      </c>
      <c r="I941" s="2">
        <f t="shared" si="28"/>
        <v>235.53000000000003</v>
      </c>
      <c r="J941" s="2">
        <f t="shared" si="29"/>
        <v>8.1357512953367888</v>
      </c>
    </row>
    <row r="942" spans="1:10" x14ac:dyDescent="0.3">
      <c r="A942" s="1">
        <v>45376</v>
      </c>
      <c r="B942">
        <v>92.26</v>
      </c>
      <c r="C942">
        <v>418.13</v>
      </c>
      <c r="D942">
        <v>5</v>
      </c>
      <c r="E942" s="2" t="s">
        <v>13</v>
      </c>
      <c r="F942" s="2" t="s">
        <v>17</v>
      </c>
      <c r="G942" s="2" t="s">
        <v>19</v>
      </c>
      <c r="H942" s="2" t="s">
        <v>20</v>
      </c>
      <c r="I942" s="2">
        <f t="shared" si="28"/>
        <v>-325.87</v>
      </c>
      <c r="J942" s="2">
        <f t="shared" si="29"/>
        <v>-0.77935091957046854</v>
      </c>
    </row>
    <row r="943" spans="1:10" x14ac:dyDescent="0.3">
      <c r="A943" s="1">
        <v>45346</v>
      </c>
      <c r="B943">
        <v>223.8</v>
      </c>
      <c r="C943">
        <v>404.69</v>
      </c>
      <c r="D943">
        <v>9</v>
      </c>
      <c r="E943" s="2" t="s">
        <v>16</v>
      </c>
      <c r="F943" s="2" t="s">
        <v>9</v>
      </c>
      <c r="G943" s="2" t="s">
        <v>12</v>
      </c>
      <c r="H943" s="2" t="s">
        <v>18</v>
      </c>
      <c r="I943" s="2">
        <f t="shared" si="28"/>
        <v>-180.89</v>
      </c>
      <c r="J943" s="2">
        <f t="shared" si="29"/>
        <v>-0.44698411129506532</v>
      </c>
    </row>
    <row r="944" spans="1:10" x14ac:dyDescent="0.3">
      <c r="A944" s="1">
        <v>45377</v>
      </c>
      <c r="B944">
        <v>423.35</v>
      </c>
      <c r="C944">
        <v>181.03</v>
      </c>
      <c r="D944">
        <v>7</v>
      </c>
      <c r="E944" s="2" t="s">
        <v>13</v>
      </c>
      <c r="F944" s="2" t="s">
        <v>9</v>
      </c>
      <c r="G944" s="2" t="s">
        <v>14</v>
      </c>
      <c r="H944" s="2" t="s">
        <v>11</v>
      </c>
      <c r="I944" s="2">
        <f t="shared" si="28"/>
        <v>242.32000000000002</v>
      </c>
      <c r="J944" s="2">
        <f t="shared" si="29"/>
        <v>1.3385626691708559</v>
      </c>
    </row>
    <row r="945" spans="1:10" x14ac:dyDescent="0.3">
      <c r="A945" s="1">
        <v>45379</v>
      </c>
      <c r="B945">
        <v>1336.98</v>
      </c>
      <c r="C945">
        <v>322.14999999999998</v>
      </c>
      <c r="D945">
        <v>0</v>
      </c>
      <c r="E945" s="2" t="s">
        <v>8</v>
      </c>
      <c r="F945" s="2" t="s">
        <v>17</v>
      </c>
      <c r="G945" s="2" t="s">
        <v>14</v>
      </c>
      <c r="H945" s="2" t="s">
        <v>15</v>
      </c>
      <c r="I945" s="2">
        <f t="shared" si="28"/>
        <v>1014.83</v>
      </c>
      <c r="J945" s="2">
        <f t="shared" si="29"/>
        <v>3.1501784882818566</v>
      </c>
    </row>
    <row r="946" spans="1:10" x14ac:dyDescent="0.3">
      <c r="A946" s="1">
        <v>45370</v>
      </c>
      <c r="B946">
        <v>825.54</v>
      </c>
      <c r="C946">
        <v>148.63</v>
      </c>
      <c r="D946">
        <v>6</v>
      </c>
      <c r="E946" s="2" t="s">
        <v>16</v>
      </c>
      <c r="F946" s="2" t="s">
        <v>17</v>
      </c>
      <c r="G946" s="2" t="s">
        <v>19</v>
      </c>
      <c r="H946" s="2" t="s">
        <v>20</v>
      </c>
      <c r="I946" s="2">
        <f t="shared" si="28"/>
        <v>676.91</v>
      </c>
      <c r="J946" s="2">
        <f t="shared" si="29"/>
        <v>4.5543295431608692</v>
      </c>
    </row>
    <row r="947" spans="1:10" x14ac:dyDescent="0.3">
      <c r="A947" s="1">
        <v>45295</v>
      </c>
      <c r="B947">
        <v>1234.47</v>
      </c>
      <c r="C947">
        <v>425.77</v>
      </c>
      <c r="D947">
        <v>7</v>
      </c>
      <c r="E947" s="2" t="s">
        <v>13</v>
      </c>
      <c r="F947" s="2" t="s">
        <v>17</v>
      </c>
      <c r="G947" s="2" t="s">
        <v>10</v>
      </c>
      <c r="H947" s="2" t="s">
        <v>11</v>
      </c>
      <c r="I947" s="2">
        <f t="shared" si="28"/>
        <v>808.7</v>
      </c>
      <c r="J947" s="2">
        <f t="shared" si="29"/>
        <v>1.8993822956056088</v>
      </c>
    </row>
    <row r="948" spans="1:10" x14ac:dyDescent="0.3">
      <c r="A948" s="1">
        <v>45362</v>
      </c>
      <c r="B948">
        <v>318.18</v>
      </c>
      <c r="C948">
        <v>106.26</v>
      </c>
      <c r="D948">
        <v>0</v>
      </c>
      <c r="E948" s="2" t="s">
        <v>8</v>
      </c>
      <c r="F948" s="2" t="s">
        <v>17</v>
      </c>
      <c r="G948" s="2" t="s">
        <v>14</v>
      </c>
      <c r="H948" s="2" t="s">
        <v>15</v>
      </c>
      <c r="I948" s="2">
        <f t="shared" si="28"/>
        <v>211.92000000000002</v>
      </c>
      <c r="J948" s="2">
        <f t="shared" si="29"/>
        <v>1.9943534726143421</v>
      </c>
    </row>
    <row r="949" spans="1:10" x14ac:dyDescent="0.3">
      <c r="A949" s="1">
        <v>45384</v>
      </c>
      <c r="B949">
        <v>373.02</v>
      </c>
      <c r="C949">
        <v>431.81</v>
      </c>
      <c r="D949">
        <v>4</v>
      </c>
      <c r="E949" s="2" t="s">
        <v>16</v>
      </c>
      <c r="F949" s="2" t="s">
        <v>9</v>
      </c>
      <c r="G949" s="2" t="s">
        <v>14</v>
      </c>
      <c r="H949" s="2" t="s">
        <v>20</v>
      </c>
      <c r="I949" s="2">
        <f t="shared" si="28"/>
        <v>-58.79000000000002</v>
      </c>
      <c r="J949" s="2">
        <f t="shared" si="29"/>
        <v>-0.13614784280123207</v>
      </c>
    </row>
    <row r="950" spans="1:10" x14ac:dyDescent="0.3">
      <c r="A950" s="1">
        <v>45389</v>
      </c>
      <c r="B950">
        <v>421.67</v>
      </c>
      <c r="C950">
        <v>346.69</v>
      </c>
      <c r="D950">
        <v>1</v>
      </c>
      <c r="E950" s="2" t="s">
        <v>13</v>
      </c>
      <c r="F950" s="2" t="s">
        <v>9</v>
      </c>
      <c r="G950" s="2" t="s">
        <v>14</v>
      </c>
      <c r="H950" s="2" t="s">
        <v>15</v>
      </c>
      <c r="I950" s="2">
        <f t="shared" si="28"/>
        <v>74.980000000000018</v>
      </c>
      <c r="J950" s="2">
        <f t="shared" si="29"/>
        <v>0.21627390464103383</v>
      </c>
    </row>
    <row r="951" spans="1:10" x14ac:dyDescent="0.3">
      <c r="A951" s="1">
        <v>45321</v>
      </c>
      <c r="B951">
        <v>509.75</v>
      </c>
      <c r="C951">
        <v>439.28</v>
      </c>
      <c r="D951">
        <v>0</v>
      </c>
      <c r="E951" s="2" t="s">
        <v>13</v>
      </c>
      <c r="F951" s="2" t="s">
        <v>17</v>
      </c>
      <c r="G951" s="2" t="s">
        <v>14</v>
      </c>
      <c r="H951" s="2" t="s">
        <v>11</v>
      </c>
      <c r="I951" s="2">
        <f t="shared" si="28"/>
        <v>70.470000000000027</v>
      </c>
      <c r="J951" s="2">
        <f t="shared" si="29"/>
        <v>0.1604215989801494</v>
      </c>
    </row>
    <row r="952" spans="1:10" x14ac:dyDescent="0.3">
      <c r="A952" s="1">
        <v>45337</v>
      </c>
      <c r="B952">
        <v>56.03</v>
      </c>
      <c r="C952">
        <v>33.97</v>
      </c>
      <c r="D952">
        <v>2</v>
      </c>
      <c r="E952" s="2" t="s">
        <v>16</v>
      </c>
      <c r="F952" s="2" t="s">
        <v>9</v>
      </c>
      <c r="G952" s="2" t="s">
        <v>19</v>
      </c>
      <c r="H952" s="2" t="s">
        <v>15</v>
      </c>
      <c r="I952" s="2">
        <f t="shared" si="28"/>
        <v>22.060000000000002</v>
      </c>
      <c r="J952" s="2">
        <f t="shared" si="29"/>
        <v>0.64939652634677669</v>
      </c>
    </row>
    <row r="953" spans="1:10" x14ac:dyDescent="0.3">
      <c r="A953" s="1">
        <v>45316</v>
      </c>
      <c r="B953">
        <v>1377.71</v>
      </c>
      <c r="C953">
        <v>71.17</v>
      </c>
      <c r="D953">
        <v>8</v>
      </c>
      <c r="E953" s="2" t="s">
        <v>16</v>
      </c>
      <c r="F953" s="2" t="s">
        <v>9</v>
      </c>
      <c r="G953" s="2" t="s">
        <v>19</v>
      </c>
      <c r="H953" s="2" t="s">
        <v>15</v>
      </c>
      <c r="I953" s="2">
        <f t="shared" si="28"/>
        <v>1306.54</v>
      </c>
      <c r="J953" s="2">
        <f t="shared" si="29"/>
        <v>18.358016017985104</v>
      </c>
    </row>
    <row r="954" spans="1:10" x14ac:dyDescent="0.3">
      <c r="A954" s="1">
        <v>45335</v>
      </c>
      <c r="B954">
        <v>105.78</v>
      </c>
      <c r="C954">
        <v>94.8</v>
      </c>
      <c r="D954">
        <v>3</v>
      </c>
      <c r="E954" s="2" t="s">
        <v>13</v>
      </c>
      <c r="F954" s="2" t="s">
        <v>17</v>
      </c>
      <c r="G954" s="2" t="s">
        <v>14</v>
      </c>
      <c r="H954" s="2" t="s">
        <v>15</v>
      </c>
      <c r="I954" s="2">
        <f t="shared" si="28"/>
        <v>10.980000000000004</v>
      </c>
      <c r="J954" s="2">
        <f t="shared" si="29"/>
        <v>0.11582278481012663</v>
      </c>
    </row>
    <row r="955" spans="1:10" x14ac:dyDescent="0.3">
      <c r="A955" s="1">
        <v>45306</v>
      </c>
      <c r="B955">
        <v>155.25</v>
      </c>
      <c r="C955">
        <v>150.32</v>
      </c>
      <c r="D955">
        <v>0</v>
      </c>
      <c r="E955" s="2" t="s">
        <v>8</v>
      </c>
      <c r="F955" s="2" t="s">
        <v>17</v>
      </c>
      <c r="G955" s="2" t="s">
        <v>19</v>
      </c>
      <c r="H955" s="2" t="s">
        <v>11</v>
      </c>
      <c r="I955" s="2">
        <f t="shared" si="28"/>
        <v>4.9300000000000068</v>
      </c>
      <c r="J955" s="2">
        <f t="shared" si="29"/>
        <v>3.279670037253863E-2</v>
      </c>
    </row>
    <row r="956" spans="1:10" x14ac:dyDescent="0.3">
      <c r="A956" s="1">
        <v>45306</v>
      </c>
      <c r="B956">
        <v>1356.9</v>
      </c>
      <c r="C956">
        <v>388.73</v>
      </c>
      <c r="D956">
        <v>2</v>
      </c>
      <c r="E956" s="2" t="s">
        <v>8</v>
      </c>
      <c r="F956" s="2" t="s">
        <v>17</v>
      </c>
      <c r="G956" s="2" t="s">
        <v>12</v>
      </c>
      <c r="H956" s="2" t="s">
        <v>18</v>
      </c>
      <c r="I956" s="2">
        <f t="shared" si="28"/>
        <v>968.17000000000007</v>
      </c>
      <c r="J956" s="2">
        <f t="shared" si="29"/>
        <v>2.4905975870141228</v>
      </c>
    </row>
    <row r="957" spans="1:10" x14ac:dyDescent="0.3">
      <c r="A957" s="1">
        <v>45371</v>
      </c>
      <c r="B957">
        <v>1319.77</v>
      </c>
      <c r="C957">
        <v>348.11</v>
      </c>
      <c r="D957">
        <v>10</v>
      </c>
      <c r="E957" s="2" t="s">
        <v>13</v>
      </c>
      <c r="F957" s="2" t="s">
        <v>9</v>
      </c>
      <c r="G957" s="2" t="s">
        <v>12</v>
      </c>
      <c r="H957" s="2" t="s">
        <v>15</v>
      </c>
      <c r="I957" s="2">
        <f t="shared" si="28"/>
        <v>971.66</v>
      </c>
      <c r="J957" s="2">
        <f t="shared" si="29"/>
        <v>2.7912441469650395</v>
      </c>
    </row>
    <row r="958" spans="1:10" x14ac:dyDescent="0.3">
      <c r="A958" s="1">
        <v>45326</v>
      </c>
      <c r="B958">
        <v>1209.7</v>
      </c>
      <c r="C958">
        <v>282.47000000000003</v>
      </c>
      <c r="D958">
        <v>0</v>
      </c>
      <c r="E958" s="2" t="s">
        <v>13</v>
      </c>
      <c r="F958" s="2" t="s">
        <v>17</v>
      </c>
      <c r="G958" s="2" t="s">
        <v>14</v>
      </c>
      <c r="H958" s="2" t="s">
        <v>11</v>
      </c>
      <c r="I958" s="2">
        <f t="shared" si="28"/>
        <v>927.23</v>
      </c>
      <c r="J958" s="2">
        <f t="shared" si="29"/>
        <v>3.2825786809218678</v>
      </c>
    </row>
    <row r="959" spans="1:10" x14ac:dyDescent="0.3">
      <c r="A959" s="1">
        <v>45292</v>
      </c>
      <c r="B959">
        <v>109.77</v>
      </c>
      <c r="C959">
        <v>136.09</v>
      </c>
      <c r="D959">
        <v>0</v>
      </c>
      <c r="E959" s="2" t="s">
        <v>16</v>
      </c>
      <c r="F959" s="2" t="s">
        <v>9</v>
      </c>
      <c r="G959" s="2" t="s">
        <v>19</v>
      </c>
      <c r="H959" s="2" t="s">
        <v>20</v>
      </c>
      <c r="I959" s="2">
        <f t="shared" si="28"/>
        <v>-26.320000000000007</v>
      </c>
      <c r="J959" s="2">
        <f t="shared" si="29"/>
        <v>-0.19340142552722467</v>
      </c>
    </row>
    <row r="960" spans="1:10" x14ac:dyDescent="0.3">
      <c r="A960" s="1">
        <v>45391</v>
      </c>
      <c r="B960">
        <v>1301.45</v>
      </c>
      <c r="C960">
        <v>224.06</v>
      </c>
      <c r="D960">
        <v>6</v>
      </c>
      <c r="E960" s="2" t="s">
        <v>8</v>
      </c>
      <c r="F960" s="2" t="s">
        <v>9</v>
      </c>
      <c r="G960" s="2" t="s">
        <v>19</v>
      </c>
      <c r="H960" s="2" t="s">
        <v>15</v>
      </c>
      <c r="I960" s="2">
        <f t="shared" si="28"/>
        <v>1077.3900000000001</v>
      </c>
      <c r="J960" s="2">
        <f t="shared" si="29"/>
        <v>4.8084887976434887</v>
      </c>
    </row>
    <row r="961" spans="1:10" x14ac:dyDescent="0.3">
      <c r="A961" s="1">
        <v>45384</v>
      </c>
      <c r="B961">
        <v>1198.33</v>
      </c>
      <c r="C961">
        <v>134.65</v>
      </c>
      <c r="D961">
        <v>1</v>
      </c>
      <c r="E961" s="2" t="s">
        <v>16</v>
      </c>
      <c r="F961" s="2" t="s">
        <v>17</v>
      </c>
      <c r="G961" s="2" t="s">
        <v>10</v>
      </c>
      <c r="H961" s="2" t="s">
        <v>20</v>
      </c>
      <c r="I961" s="2">
        <f t="shared" si="28"/>
        <v>1063.6799999999998</v>
      </c>
      <c r="J961" s="2">
        <f t="shared" si="29"/>
        <v>7.8995915336056424</v>
      </c>
    </row>
    <row r="962" spans="1:10" x14ac:dyDescent="0.3">
      <c r="A962" s="1">
        <v>45377</v>
      </c>
      <c r="B962">
        <v>361.26</v>
      </c>
      <c r="C962">
        <v>498.34</v>
      </c>
      <c r="D962">
        <v>8</v>
      </c>
      <c r="E962" s="2" t="s">
        <v>13</v>
      </c>
      <c r="F962" s="2" t="s">
        <v>17</v>
      </c>
      <c r="G962" s="2" t="s">
        <v>14</v>
      </c>
      <c r="H962" s="2" t="s">
        <v>15</v>
      </c>
      <c r="I962" s="2">
        <f t="shared" ref="I962:I1025" si="30">B962-C962</f>
        <v>-137.07999999999998</v>
      </c>
      <c r="J962" s="2">
        <f t="shared" ref="J962:J1025" si="31">IF(C962=0,0,I962/C962)</f>
        <v>-0.27507324316731546</v>
      </c>
    </row>
    <row r="963" spans="1:10" x14ac:dyDescent="0.3">
      <c r="A963" s="1">
        <v>45349</v>
      </c>
      <c r="B963">
        <v>570.80999999999995</v>
      </c>
      <c r="C963">
        <v>265.44</v>
      </c>
      <c r="D963">
        <v>7</v>
      </c>
      <c r="E963" s="2" t="s">
        <v>16</v>
      </c>
      <c r="F963" s="2" t="s">
        <v>9</v>
      </c>
      <c r="G963" s="2" t="s">
        <v>12</v>
      </c>
      <c r="H963" s="2" t="s">
        <v>18</v>
      </c>
      <c r="I963" s="2">
        <f t="shared" si="30"/>
        <v>305.36999999999995</v>
      </c>
      <c r="J963" s="2">
        <f t="shared" si="31"/>
        <v>1.1504294755877031</v>
      </c>
    </row>
    <row r="964" spans="1:10" x14ac:dyDescent="0.3">
      <c r="A964" s="1">
        <v>45363</v>
      </c>
      <c r="B964">
        <v>615.80999999999995</v>
      </c>
      <c r="C964">
        <v>18.13</v>
      </c>
      <c r="D964">
        <v>10</v>
      </c>
      <c r="E964" s="2" t="s">
        <v>8</v>
      </c>
      <c r="F964" s="2" t="s">
        <v>17</v>
      </c>
      <c r="G964" s="2" t="s">
        <v>14</v>
      </c>
      <c r="H964" s="2" t="s">
        <v>15</v>
      </c>
      <c r="I964" s="2">
        <f t="shared" si="30"/>
        <v>597.67999999999995</v>
      </c>
      <c r="J964" s="2">
        <f t="shared" si="31"/>
        <v>32.966354109211252</v>
      </c>
    </row>
    <row r="965" spans="1:10" x14ac:dyDescent="0.3">
      <c r="A965" s="1">
        <v>45312</v>
      </c>
      <c r="B965">
        <v>1454.76</v>
      </c>
      <c r="C965">
        <v>140.72999999999999</v>
      </c>
      <c r="D965">
        <v>3</v>
      </c>
      <c r="E965" s="2" t="s">
        <v>16</v>
      </c>
      <c r="F965" s="2" t="s">
        <v>17</v>
      </c>
      <c r="G965" s="2" t="s">
        <v>14</v>
      </c>
      <c r="H965" s="2" t="s">
        <v>11</v>
      </c>
      <c r="I965" s="2">
        <f t="shared" si="30"/>
        <v>1314.03</v>
      </c>
      <c r="J965" s="2">
        <f t="shared" si="31"/>
        <v>9.3372415263270092</v>
      </c>
    </row>
    <row r="966" spans="1:10" x14ac:dyDescent="0.3">
      <c r="A966" s="1">
        <v>45410</v>
      </c>
      <c r="B966">
        <v>1325.76</v>
      </c>
      <c r="C966">
        <v>284.64999999999998</v>
      </c>
      <c r="D966">
        <v>9</v>
      </c>
      <c r="E966" s="2" t="s">
        <v>16</v>
      </c>
      <c r="F966" s="2" t="s">
        <v>17</v>
      </c>
      <c r="G966" s="2" t="s">
        <v>12</v>
      </c>
      <c r="H966" s="2" t="s">
        <v>15</v>
      </c>
      <c r="I966" s="2">
        <f t="shared" si="30"/>
        <v>1041.1100000000001</v>
      </c>
      <c r="J966" s="2">
        <f t="shared" si="31"/>
        <v>3.6575092218513974</v>
      </c>
    </row>
    <row r="967" spans="1:10" x14ac:dyDescent="0.3">
      <c r="A967" s="1">
        <v>45309</v>
      </c>
      <c r="B967">
        <v>1175.67</v>
      </c>
      <c r="C967">
        <v>429.97</v>
      </c>
      <c r="D967">
        <v>5</v>
      </c>
      <c r="E967" s="2" t="s">
        <v>16</v>
      </c>
      <c r="F967" s="2" t="s">
        <v>17</v>
      </c>
      <c r="G967" s="2" t="s">
        <v>10</v>
      </c>
      <c r="H967" s="2" t="s">
        <v>11</v>
      </c>
      <c r="I967" s="2">
        <f t="shared" si="30"/>
        <v>745.7</v>
      </c>
      <c r="J967" s="2">
        <f t="shared" si="31"/>
        <v>1.7343070446775357</v>
      </c>
    </row>
    <row r="968" spans="1:10" x14ac:dyDescent="0.3">
      <c r="A968" s="1">
        <v>45313</v>
      </c>
      <c r="B968">
        <v>1184.24</v>
      </c>
      <c r="C968">
        <v>210.03</v>
      </c>
      <c r="D968">
        <v>9</v>
      </c>
      <c r="E968" s="2" t="s">
        <v>16</v>
      </c>
      <c r="F968" s="2" t="s">
        <v>17</v>
      </c>
      <c r="G968" s="2" t="s">
        <v>19</v>
      </c>
      <c r="H968" s="2" t="s">
        <v>11</v>
      </c>
      <c r="I968" s="2">
        <f t="shared" si="30"/>
        <v>974.21</v>
      </c>
      <c r="J968" s="2">
        <f t="shared" si="31"/>
        <v>4.6384326048659714</v>
      </c>
    </row>
    <row r="969" spans="1:10" x14ac:dyDescent="0.3">
      <c r="A969" s="1">
        <v>45301</v>
      </c>
      <c r="B969">
        <v>1254.25</v>
      </c>
      <c r="C969">
        <v>65.56</v>
      </c>
      <c r="D969">
        <v>9</v>
      </c>
      <c r="E969" s="2" t="s">
        <v>13</v>
      </c>
      <c r="F969" s="2" t="s">
        <v>9</v>
      </c>
      <c r="G969" s="2" t="s">
        <v>14</v>
      </c>
      <c r="H969" s="2" t="s">
        <v>20</v>
      </c>
      <c r="I969" s="2">
        <f t="shared" si="30"/>
        <v>1188.69</v>
      </c>
      <c r="J969" s="2">
        <f t="shared" si="31"/>
        <v>18.131330079316658</v>
      </c>
    </row>
    <row r="970" spans="1:10" x14ac:dyDescent="0.3">
      <c r="A970" s="1">
        <v>45378</v>
      </c>
      <c r="B970">
        <v>743.92</v>
      </c>
      <c r="C970">
        <v>43.23</v>
      </c>
      <c r="D970">
        <v>8</v>
      </c>
      <c r="E970" s="2" t="s">
        <v>16</v>
      </c>
      <c r="F970" s="2" t="s">
        <v>17</v>
      </c>
      <c r="G970" s="2" t="s">
        <v>14</v>
      </c>
      <c r="H970" s="2" t="s">
        <v>18</v>
      </c>
      <c r="I970" s="2">
        <f t="shared" si="30"/>
        <v>700.68999999999994</v>
      </c>
      <c r="J970" s="2">
        <f t="shared" si="31"/>
        <v>16.208420078649088</v>
      </c>
    </row>
    <row r="971" spans="1:10" x14ac:dyDescent="0.3">
      <c r="A971" s="1">
        <v>45399</v>
      </c>
      <c r="B971">
        <v>1127.6199999999999</v>
      </c>
      <c r="C971">
        <v>29.9</v>
      </c>
      <c r="D971">
        <v>7</v>
      </c>
      <c r="E971" s="2" t="s">
        <v>16</v>
      </c>
      <c r="F971" s="2" t="s">
        <v>9</v>
      </c>
      <c r="G971" s="2" t="s">
        <v>14</v>
      </c>
      <c r="H971" s="2" t="s">
        <v>20</v>
      </c>
      <c r="I971" s="2">
        <f t="shared" si="30"/>
        <v>1097.7199999999998</v>
      </c>
      <c r="J971" s="2">
        <f t="shared" si="31"/>
        <v>36.713043478260865</v>
      </c>
    </row>
    <row r="972" spans="1:10" x14ac:dyDescent="0.3">
      <c r="A972" s="1">
        <v>45300</v>
      </c>
      <c r="B972">
        <v>1150.73</v>
      </c>
      <c r="C972">
        <v>338.85</v>
      </c>
      <c r="D972">
        <v>7</v>
      </c>
      <c r="E972" s="2" t="s">
        <v>16</v>
      </c>
      <c r="F972" s="2" t="s">
        <v>9</v>
      </c>
      <c r="G972" s="2" t="s">
        <v>12</v>
      </c>
      <c r="H972" s="2" t="s">
        <v>11</v>
      </c>
      <c r="I972" s="2">
        <f t="shared" si="30"/>
        <v>811.88</v>
      </c>
      <c r="J972" s="2">
        <f t="shared" si="31"/>
        <v>2.3959864246716833</v>
      </c>
    </row>
    <row r="973" spans="1:10" x14ac:dyDescent="0.3">
      <c r="A973" s="1">
        <v>45410</v>
      </c>
      <c r="B973">
        <v>632.9</v>
      </c>
      <c r="C973">
        <v>48.82</v>
      </c>
      <c r="D973">
        <v>2</v>
      </c>
      <c r="E973" s="2" t="s">
        <v>8</v>
      </c>
      <c r="F973" s="2" t="s">
        <v>9</v>
      </c>
      <c r="G973" s="2" t="s">
        <v>12</v>
      </c>
      <c r="H973" s="2" t="s">
        <v>15</v>
      </c>
      <c r="I973" s="2">
        <f t="shared" si="30"/>
        <v>584.07999999999993</v>
      </c>
      <c r="J973" s="2">
        <f t="shared" si="31"/>
        <v>11.96394920114707</v>
      </c>
    </row>
    <row r="974" spans="1:10" x14ac:dyDescent="0.3">
      <c r="A974" s="1">
        <v>45297</v>
      </c>
      <c r="B974">
        <v>582.14</v>
      </c>
      <c r="C974">
        <v>170.97</v>
      </c>
      <c r="D974">
        <v>5</v>
      </c>
      <c r="E974" s="2" t="s">
        <v>16</v>
      </c>
      <c r="F974" s="2" t="s">
        <v>17</v>
      </c>
      <c r="G974" s="2" t="s">
        <v>14</v>
      </c>
      <c r="H974" s="2" t="s">
        <v>11</v>
      </c>
      <c r="I974" s="2">
        <f t="shared" si="30"/>
        <v>411.16999999999996</v>
      </c>
      <c r="J974" s="2">
        <f t="shared" si="31"/>
        <v>2.4049248406153123</v>
      </c>
    </row>
    <row r="975" spans="1:10" x14ac:dyDescent="0.3">
      <c r="A975" s="1">
        <v>45348</v>
      </c>
      <c r="B975">
        <v>392.86</v>
      </c>
      <c r="C975">
        <v>107.91</v>
      </c>
      <c r="D975">
        <v>7</v>
      </c>
      <c r="E975" s="2" t="s">
        <v>16</v>
      </c>
      <c r="F975" s="2" t="s">
        <v>9</v>
      </c>
      <c r="G975" s="2" t="s">
        <v>10</v>
      </c>
      <c r="H975" s="2" t="s">
        <v>15</v>
      </c>
      <c r="I975" s="2">
        <f t="shared" si="30"/>
        <v>284.95000000000005</v>
      </c>
      <c r="J975" s="2">
        <f t="shared" si="31"/>
        <v>2.6406264479658978</v>
      </c>
    </row>
    <row r="976" spans="1:10" x14ac:dyDescent="0.3">
      <c r="A976" s="1">
        <v>45404</v>
      </c>
      <c r="B976">
        <v>77.8</v>
      </c>
      <c r="C976">
        <v>253.17</v>
      </c>
      <c r="D976">
        <v>0</v>
      </c>
      <c r="E976" s="2" t="s">
        <v>8</v>
      </c>
      <c r="F976" s="2" t="s">
        <v>17</v>
      </c>
      <c r="G976" s="2" t="s">
        <v>19</v>
      </c>
      <c r="H976" s="2" t="s">
        <v>18</v>
      </c>
      <c r="I976" s="2">
        <f t="shared" si="30"/>
        <v>-175.37</v>
      </c>
      <c r="J976" s="2">
        <f t="shared" si="31"/>
        <v>-0.69269660702294911</v>
      </c>
    </row>
    <row r="977" spans="1:10" x14ac:dyDescent="0.3">
      <c r="A977" s="1">
        <v>45366</v>
      </c>
      <c r="B977">
        <v>78.430000000000007</v>
      </c>
      <c r="C977">
        <v>55.81</v>
      </c>
      <c r="D977">
        <v>4</v>
      </c>
      <c r="E977" s="2" t="s">
        <v>16</v>
      </c>
      <c r="F977" s="2" t="s">
        <v>17</v>
      </c>
      <c r="G977" s="2" t="s">
        <v>19</v>
      </c>
      <c r="H977" s="2" t="s">
        <v>20</v>
      </c>
      <c r="I977" s="2">
        <f t="shared" si="30"/>
        <v>22.620000000000005</v>
      </c>
      <c r="J977" s="2">
        <f t="shared" si="31"/>
        <v>0.40530370901272178</v>
      </c>
    </row>
    <row r="978" spans="1:10" x14ac:dyDescent="0.3">
      <c r="A978" s="1">
        <v>45381</v>
      </c>
      <c r="B978">
        <v>148.11000000000001</v>
      </c>
      <c r="C978">
        <v>44.2</v>
      </c>
      <c r="D978">
        <v>4</v>
      </c>
      <c r="E978" s="2" t="s">
        <v>8</v>
      </c>
      <c r="F978" s="2" t="s">
        <v>9</v>
      </c>
      <c r="G978" s="2" t="s">
        <v>19</v>
      </c>
      <c r="H978" s="2" t="s">
        <v>20</v>
      </c>
      <c r="I978" s="2">
        <f t="shared" si="30"/>
        <v>103.91000000000001</v>
      </c>
      <c r="J978" s="2">
        <f t="shared" si="31"/>
        <v>2.3509049773755657</v>
      </c>
    </row>
    <row r="979" spans="1:10" x14ac:dyDescent="0.3">
      <c r="A979" s="1">
        <v>45377</v>
      </c>
      <c r="B979">
        <v>715.31</v>
      </c>
      <c r="C979">
        <v>75.52</v>
      </c>
      <c r="D979">
        <v>9</v>
      </c>
      <c r="E979" s="2" t="s">
        <v>8</v>
      </c>
      <c r="F979" s="2" t="s">
        <v>17</v>
      </c>
      <c r="G979" s="2" t="s">
        <v>19</v>
      </c>
      <c r="H979" s="2" t="s">
        <v>11</v>
      </c>
      <c r="I979" s="2">
        <f t="shared" si="30"/>
        <v>639.79</v>
      </c>
      <c r="J979" s="2">
        <f t="shared" si="31"/>
        <v>8.4717955508474567</v>
      </c>
    </row>
    <row r="980" spans="1:10" x14ac:dyDescent="0.3">
      <c r="A980" s="1">
        <v>45307</v>
      </c>
      <c r="B980">
        <v>591.27</v>
      </c>
      <c r="C980">
        <v>348.18</v>
      </c>
      <c r="D980">
        <v>9</v>
      </c>
      <c r="E980" s="2" t="s">
        <v>16</v>
      </c>
      <c r="F980" s="2" t="s">
        <v>9</v>
      </c>
      <c r="G980" s="2" t="s">
        <v>19</v>
      </c>
      <c r="H980" s="2" t="s">
        <v>15</v>
      </c>
      <c r="I980" s="2">
        <f t="shared" si="30"/>
        <v>243.08999999999997</v>
      </c>
      <c r="J980" s="2">
        <f t="shared" si="31"/>
        <v>0.69817335860761665</v>
      </c>
    </row>
    <row r="981" spans="1:10" x14ac:dyDescent="0.3">
      <c r="A981" s="1">
        <v>45338</v>
      </c>
      <c r="B981">
        <v>622.04</v>
      </c>
      <c r="C981">
        <v>340.85</v>
      </c>
      <c r="D981">
        <v>5</v>
      </c>
      <c r="E981" s="2" t="s">
        <v>8</v>
      </c>
      <c r="F981" s="2" t="s">
        <v>17</v>
      </c>
      <c r="G981" s="2" t="s">
        <v>10</v>
      </c>
      <c r="H981" s="2" t="s">
        <v>15</v>
      </c>
      <c r="I981" s="2">
        <f t="shared" si="30"/>
        <v>281.18999999999994</v>
      </c>
      <c r="J981" s="2">
        <f t="shared" si="31"/>
        <v>0.8249669942790081</v>
      </c>
    </row>
    <row r="982" spans="1:10" x14ac:dyDescent="0.3">
      <c r="A982" s="1">
        <v>45362</v>
      </c>
      <c r="B982">
        <v>710.63</v>
      </c>
      <c r="C982">
        <v>186.62</v>
      </c>
      <c r="D982">
        <v>7</v>
      </c>
      <c r="E982" s="2" t="s">
        <v>13</v>
      </c>
      <c r="F982" s="2" t="s">
        <v>9</v>
      </c>
      <c r="G982" s="2" t="s">
        <v>10</v>
      </c>
      <c r="H982" s="2" t="s">
        <v>11</v>
      </c>
      <c r="I982" s="2">
        <f t="shared" si="30"/>
        <v>524.01</v>
      </c>
      <c r="J982" s="2">
        <f t="shared" si="31"/>
        <v>2.8078984031722216</v>
      </c>
    </row>
    <row r="983" spans="1:10" x14ac:dyDescent="0.3">
      <c r="A983" s="1">
        <v>45359</v>
      </c>
      <c r="B983">
        <v>224.81</v>
      </c>
      <c r="C983">
        <v>122.57</v>
      </c>
      <c r="D983">
        <v>4</v>
      </c>
      <c r="E983" s="2" t="s">
        <v>8</v>
      </c>
      <c r="F983" s="2" t="s">
        <v>17</v>
      </c>
      <c r="G983" s="2" t="s">
        <v>12</v>
      </c>
      <c r="H983" s="2" t="s">
        <v>18</v>
      </c>
      <c r="I983" s="2">
        <f t="shared" si="30"/>
        <v>102.24000000000001</v>
      </c>
      <c r="J983" s="2">
        <f t="shared" si="31"/>
        <v>0.83413559598596732</v>
      </c>
    </row>
    <row r="984" spans="1:10" x14ac:dyDescent="0.3">
      <c r="A984" s="1">
        <v>45300</v>
      </c>
      <c r="B984">
        <v>1470.93</v>
      </c>
      <c r="C984">
        <v>493.36</v>
      </c>
      <c r="D984">
        <v>10</v>
      </c>
      <c r="E984" s="2" t="s">
        <v>16</v>
      </c>
      <c r="F984" s="2" t="s">
        <v>9</v>
      </c>
      <c r="G984" s="2" t="s">
        <v>12</v>
      </c>
      <c r="H984" s="2" t="s">
        <v>18</v>
      </c>
      <c r="I984" s="2">
        <f t="shared" si="30"/>
        <v>977.57</v>
      </c>
      <c r="J984" s="2">
        <f t="shared" si="31"/>
        <v>1.9814537052051242</v>
      </c>
    </row>
    <row r="985" spans="1:10" x14ac:dyDescent="0.3">
      <c r="A985" s="1">
        <v>45380</v>
      </c>
      <c r="B985">
        <v>1042.21</v>
      </c>
      <c r="C985">
        <v>334.73</v>
      </c>
      <c r="D985">
        <v>2</v>
      </c>
      <c r="E985" s="2" t="s">
        <v>16</v>
      </c>
      <c r="F985" s="2" t="s">
        <v>9</v>
      </c>
      <c r="G985" s="2" t="s">
        <v>12</v>
      </c>
      <c r="H985" s="2" t="s">
        <v>11</v>
      </c>
      <c r="I985" s="2">
        <f t="shared" si="30"/>
        <v>707.48</v>
      </c>
      <c r="J985" s="2">
        <f t="shared" si="31"/>
        <v>2.1135840826935142</v>
      </c>
    </row>
    <row r="986" spans="1:10" x14ac:dyDescent="0.3">
      <c r="A986" s="1">
        <v>45408</v>
      </c>
      <c r="B986">
        <v>700.66</v>
      </c>
      <c r="C986">
        <v>450.54</v>
      </c>
      <c r="D986">
        <v>7</v>
      </c>
      <c r="E986" s="2" t="s">
        <v>13</v>
      </c>
      <c r="F986" s="2" t="s">
        <v>9</v>
      </c>
      <c r="G986" s="2" t="s">
        <v>12</v>
      </c>
      <c r="H986" s="2" t="s">
        <v>15</v>
      </c>
      <c r="I986" s="2">
        <f t="shared" si="30"/>
        <v>250.11999999999995</v>
      </c>
      <c r="J986" s="2">
        <f t="shared" si="31"/>
        <v>0.55515603498024579</v>
      </c>
    </row>
    <row r="987" spans="1:10" x14ac:dyDescent="0.3">
      <c r="A987" s="1">
        <v>45301</v>
      </c>
      <c r="B987">
        <v>1183.52</v>
      </c>
      <c r="C987">
        <v>53.21</v>
      </c>
      <c r="D987">
        <v>2</v>
      </c>
      <c r="E987" s="2" t="s">
        <v>8</v>
      </c>
      <c r="F987" s="2" t="s">
        <v>17</v>
      </c>
      <c r="G987" s="2" t="s">
        <v>14</v>
      </c>
      <c r="H987" s="2" t="s">
        <v>15</v>
      </c>
      <c r="I987" s="2">
        <f t="shared" si="30"/>
        <v>1130.31</v>
      </c>
      <c r="J987" s="2">
        <f t="shared" si="31"/>
        <v>21.242435632399925</v>
      </c>
    </row>
    <row r="988" spans="1:10" x14ac:dyDescent="0.3">
      <c r="A988" s="1">
        <v>45363</v>
      </c>
      <c r="B988">
        <v>329.19</v>
      </c>
      <c r="C988">
        <v>163.97</v>
      </c>
      <c r="D988">
        <v>9</v>
      </c>
      <c r="E988" s="2" t="s">
        <v>8</v>
      </c>
      <c r="F988" s="2" t="s">
        <v>17</v>
      </c>
      <c r="G988" s="2" t="s">
        <v>14</v>
      </c>
      <c r="H988" s="2" t="s">
        <v>11</v>
      </c>
      <c r="I988" s="2">
        <f t="shared" si="30"/>
        <v>165.22</v>
      </c>
      <c r="J988" s="2">
        <f t="shared" si="31"/>
        <v>1.0076233457339758</v>
      </c>
    </row>
    <row r="989" spans="1:10" x14ac:dyDescent="0.3">
      <c r="A989" s="1">
        <v>45403</v>
      </c>
      <c r="B989">
        <v>1378.79</v>
      </c>
      <c r="C989">
        <v>237.36</v>
      </c>
      <c r="D989">
        <v>4</v>
      </c>
      <c r="E989" s="2" t="s">
        <v>16</v>
      </c>
      <c r="F989" s="2" t="s">
        <v>17</v>
      </c>
      <c r="G989" s="2" t="s">
        <v>14</v>
      </c>
      <c r="H989" s="2" t="s">
        <v>18</v>
      </c>
      <c r="I989" s="2">
        <f t="shared" si="30"/>
        <v>1141.4299999999998</v>
      </c>
      <c r="J989" s="2">
        <f t="shared" si="31"/>
        <v>4.8088557465453308</v>
      </c>
    </row>
    <row r="990" spans="1:10" x14ac:dyDescent="0.3">
      <c r="A990" s="1">
        <v>45339</v>
      </c>
      <c r="B990">
        <v>537.30999999999995</v>
      </c>
      <c r="C990">
        <v>403.42</v>
      </c>
      <c r="D990">
        <v>3</v>
      </c>
      <c r="E990" s="2" t="s">
        <v>8</v>
      </c>
      <c r="F990" s="2" t="s">
        <v>17</v>
      </c>
      <c r="G990" s="2" t="s">
        <v>12</v>
      </c>
      <c r="H990" s="2" t="s">
        <v>11</v>
      </c>
      <c r="I990" s="2">
        <f t="shared" si="30"/>
        <v>133.88999999999993</v>
      </c>
      <c r="J990" s="2">
        <f t="shared" si="31"/>
        <v>0.3318873630459569</v>
      </c>
    </row>
    <row r="991" spans="1:10" x14ac:dyDescent="0.3">
      <c r="A991" s="1">
        <v>45397</v>
      </c>
      <c r="B991">
        <v>776.78</v>
      </c>
      <c r="C991">
        <v>444.6</v>
      </c>
      <c r="D991">
        <v>9</v>
      </c>
      <c r="E991" s="2" t="s">
        <v>8</v>
      </c>
      <c r="F991" s="2" t="s">
        <v>17</v>
      </c>
      <c r="G991" s="2" t="s">
        <v>19</v>
      </c>
      <c r="H991" s="2" t="s">
        <v>20</v>
      </c>
      <c r="I991" s="2">
        <f t="shared" si="30"/>
        <v>332.17999999999995</v>
      </c>
      <c r="J991" s="2">
        <f t="shared" si="31"/>
        <v>0.74714349977507855</v>
      </c>
    </row>
    <row r="992" spans="1:10" x14ac:dyDescent="0.3">
      <c r="A992" s="1">
        <v>45375</v>
      </c>
      <c r="B992">
        <v>564.97</v>
      </c>
      <c r="C992">
        <v>249.25</v>
      </c>
      <c r="D992">
        <v>10</v>
      </c>
      <c r="E992" s="2" t="s">
        <v>13</v>
      </c>
      <c r="F992" s="2" t="s">
        <v>9</v>
      </c>
      <c r="G992" s="2" t="s">
        <v>19</v>
      </c>
      <c r="H992" s="2" t="s">
        <v>11</v>
      </c>
      <c r="I992" s="2">
        <f t="shared" si="30"/>
        <v>315.72000000000003</v>
      </c>
      <c r="J992" s="2">
        <f t="shared" si="31"/>
        <v>1.2666800401203613</v>
      </c>
    </row>
    <row r="993" spans="1:10" x14ac:dyDescent="0.3">
      <c r="A993" s="1">
        <v>45312</v>
      </c>
      <c r="B993">
        <v>430.84</v>
      </c>
      <c r="C993">
        <v>297.64999999999998</v>
      </c>
      <c r="D993">
        <v>7</v>
      </c>
      <c r="E993" s="2" t="s">
        <v>13</v>
      </c>
      <c r="F993" s="2" t="s">
        <v>9</v>
      </c>
      <c r="G993" s="2" t="s">
        <v>19</v>
      </c>
      <c r="H993" s="2" t="s">
        <v>18</v>
      </c>
      <c r="I993" s="2">
        <f t="shared" si="30"/>
        <v>133.19</v>
      </c>
      <c r="J993" s="2">
        <f t="shared" si="31"/>
        <v>0.44747186292625568</v>
      </c>
    </row>
    <row r="994" spans="1:10" x14ac:dyDescent="0.3">
      <c r="A994" s="1">
        <v>45304</v>
      </c>
      <c r="B994">
        <v>239.39</v>
      </c>
      <c r="C994">
        <v>308.18</v>
      </c>
      <c r="D994">
        <v>1</v>
      </c>
      <c r="E994" s="2" t="s">
        <v>8</v>
      </c>
      <c r="F994" s="2" t="s">
        <v>17</v>
      </c>
      <c r="G994" s="2" t="s">
        <v>14</v>
      </c>
      <c r="H994" s="2" t="s">
        <v>20</v>
      </c>
      <c r="I994" s="2">
        <f t="shared" si="30"/>
        <v>-68.79000000000002</v>
      </c>
      <c r="J994" s="2">
        <f t="shared" si="31"/>
        <v>-0.22321370627555331</v>
      </c>
    </row>
    <row r="995" spans="1:10" x14ac:dyDescent="0.3">
      <c r="A995" s="1">
        <v>45376</v>
      </c>
      <c r="B995">
        <v>1165.9100000000001</v>
      </c>
      <c r="C995">
        <v>379.36</v>
      </c>
      <c r="D995">
        <v>2</v>
      </c>
      <c r="E995" s="2" t="s">
        <v>8</v>
      </c>
      <c r="F995" s="2" t="s">
        <v>17</v>
      </c>
      <c r="G995" s="2" t="s">
        <v>12</v>
      </c>
      <c r="H995" s="2" t="s">
        <v>11</v>
      </c>
      <c r="I995" s="2">
        <f t="shared" si="30"/>
        <v>786.55000000000007</v>
      </c>
      <c r="J995" s="2">
        <f t="shared" si="31"/>
        <v>2.0733603964571912</v>
      </c>
    </row>
    <row r="996" spans="1:10" x14ac:dyDescent="0.3">
      <c r="A996" s="1">
        <v>45320</v>
      </c>
      <c r="B996">
        <v>164.18</v>
      </c>
      <c r="C996">
        <v>201.14</v>
      </c>
      <c r="D996">
        <v>5</v>
      </c>
      <c r="E996" s="2" t="s">
        <v>16</v>
      </c>
      <c r="F996" s="2" t="s">
        <v>17</v>
      </c>
      <c r="G996" s="2" t="s">
        <v>14</v>
      </c>
      <c r="H996" s="2" t="s">
        <v>20</v>
      </c>
      <c r="I996" s="2">
        <f t="shared" si="30"/>
        <v>-36.95999999999998</v>
      </c>
      <c r="J996" s="2">
        <f t="shared" si="31"/>
        <v>-0.18375261012230279</v>
      </c>
    </row>
    <row r="997" spans="1:10" x14ac:dyDescent="0.3">
      <c r="A997" s="1">
        <v>45354</v>
      </c>
      <c r="B997">
        <v>714.53</v>
      </c>
      <c r="C997">
        <v>275.55</v>
      </c>
      <c r="D997">
        <v>0</v>
      </c>
      <c r="E997" s="2" t="s">
        <v>13</v>
      </c>
      <c r="F997" s="2" t="s">
        <v>17</v>
      </c>
      <c r="G997" s="2" t="s">
        <v>12</v>
      </c>
      <c r="H997" s="2" t="s">
        <v>15</v>
      </c>
      <c r="I997" s="2">
        <f t="shared" si="30"/>
        <v>438.97999999999996</v>
      </c>
      <c r="J997" s="2">
        <f t="shared" si="31"/>
        <v>1.5931046996915259</v>
      </c>
    </row>
    <row r="998" spans="1:10" x14ac:dyDescent="0.3">
      <c r="A998" s="1">
        <v>45301</v>
      </c>
      <c r="B998">
        <v>137.56</v>
      </c>
      <c r="C998">
        <v>498.74</v>
      </c>
      <c r="D998">
        <v>10</v>
      </c>
      <c r="E998" s="2" t="s">
        <v>16</v>
      </c>
      <c r="F998" s="2" t="s">
        <v>9</v>
      </c>
      <c r="G998" s="2" t="s">
        <v>10</v>
      </c>
      <c r="H998" s="2" t="s">
        <v>15</v>
      </c>
      <c r="I998" s="2">
        <f t="shared" si="30"/>
        <v>-361.18</v>
      </c>
      <c r="J998" s="2">
        <f t="shared" si="31"/>
        <v>-0.72418494606408146</v>
      </c>
    </row>
    <row r="999" spans="1:10" x14ac:dyDescent="0.3">
      <c r="A999" s="1">
        <v>45364</v>
      </c>
      <c r="B999">
        <v>892.86</v>
      </c>
      <c r="C999">
        <v>47.74</v>
      </c>
      <c r="D999">
        <v>7</v>
      </c>
      <c r="E999" s="2" t="s">
        <v>16</v>
      </c>
      <c r="F999" s="2" t="s">
        <v>9</v>
      </c>
      <c r="G999" s="2" t="s">
        <v>12</v>
      </c>
      <c r="H999" s="2" t="s">
        <v>11</v>
      </c>
      <c r="I999" s="2">
        <f t="shared" si="30"/>
        <v>845.12</v>
      </c>
      <c r="J999" s="2">
        <f t="shared" si="31"/>
        <v>17.702555509007123</v>
      </c>
    </row>
    <row r="1000" spans="1:10" x14ac:dyDescent="0.3">
      <c r="A1000" s="1">
        <v>45301</v>
      </c>
      <c r="B1000">
        <v>545.35</v>
      </c>
      <c r="C1000">
        <v>207.29</v>
      </c>
      <c r="D1000">
        <v>0</v>
      </c>
      <c r="E1000" s="2" t="s">
        <v>8</v>
      </c>
      <c r="F1000" s="2" t="s">
        <v>9</v>
      </c>
      <c r="G1000" s="2" t="s">
        <v>10</v>
      </c>
      <c r="H1000" s="2" t="s">
        <v>20</v>
      </c>
      <c r="I1000" s="2">
        <f t="shared" si="30"/>
        <v>338.06000000000006</v>
      </c>
      <c r="J1000" s="2">
        <f t="shared" si="31"/>
        <v>1.6308553234598875</v>
      </c>
    </row>
    <row r="1001" spans="1:10" x14ac:dyDescent="0.3">
      <c r="A1001" s="1">
        <v>45332</v>
      </c>
      <c r="B1001">
        <v>487.11</v>
      </c>
      <c r="C1001">
        <v>437.3</v>
      </c>
      <c r="D1001">
        <v>10</v>
      </c>
      <c r="E1001" s="2" t="s">
        <v>16</v>
      </c>
      <c r="F1001" s="2" t="s">
        <v>9</v>
      </c>
      <c r="G1001" s="2" t="s">
        <v>19</v>
      </c>
      <c r="H1001" s="2" t="s">
        <v>20</v>
      </c>
      <c r="I1001" s="2">
        <f t="shared" si="30"/>
        <v>49.81</v>
      </c>
      <c r="J1001" s="2">
        <f t="shared" si="31"/>
        <v>0.11390349874228219</v>
      </c>
    </row>
    <row r="1002" spans="1:10" x14ac:dyDescent="0.3">
      <c r="A1002" s="1">
        <v>45328</v>
      </c>
      <c r="B1002">
        <v>670.44</v>
      </c>
      <c r="C1002">
        <v>319.95</v>
      </c>
      <c r="D1002">
        <v>4</v>
      </c>
      <c r="E1002" s="2" t="s">
        <v>16</v>
      </c>
      <c r="F1002" s="2" t="s">
        <v>9</v>
      </c>
      <c r="G1002" s="2" t="s">
        <v>19</v>
      </c>
      <c r="H1002" s="2" t="s">
        <v>18</v>
      </c>
      <c r="I1002" s="2">
        <f t="shared" si="30"/>
        <v>350.49000000000007</v>
      </c>
      <c r="J1002" s="2">
        <f t="shared" si="31"/>
        <v>1.0954524144397564</v>
      </c>
    </row>
    <row r="1003" spans="1:10" x14ac:dyDescent="0.3">
      <c r="A1003" s="1">
        <v>45308</v>
      </c>
      <c r="B1003">
        <v>602.64</v>
      </c>
      <c r="C1003">
        <v>193.11</v>
      </c>
      <c r="D1003">
        <v>7</v>
      </c>
      <c r="E1003" s="2" t="s">
        <v>8</v>
      </c>
      <c r="F1003" s="2" t="s">
        <v>17</v>
      </c>
      <c r="G1003" s="2" t="s">
        <v>14</v>
      </c>
      <c r="H1003" s="2" t="s">
        <v>18</v>
      </c>
      <c r="I1003" s="2">
        <f t="shared" si="30"/>
        <v>409.53</v>
      </c>
      <c r="J1003" s="2">
        <f t="shared" si="31"/>
        <v>2.1207084045362743</v>
      </c>
    </row>
    <row r="1004" spans="1:10" x14ac:dyDescent="0.3">
      <c r="A1004" s="1">
        <v>45399</v>
      </c>
      <c r="B1004">
        <v>381.11</v>
      </c>
      <c r="C1004">
        <v>121.82</v>
      </c>
      <c r="D1004">
        <v>4</v>
      </c>
      <c r="E1004" s="2" t="s">
        <v>13</v>
      </c>
      <c r="F1004" s="2" t="s">
        <v>17</v>
      </c>
      <c r="G1004" s="2" t="s">
        <v>10</v>
      </c>
      <c r="H1004" s="2" t="s">
        <v>15</v>
      </c>
      <c r="I1004" s="2">
        <f t="shared" si="30"/>
        <v>259.29000000000002</v>
      </c>
      <c r="J1004" s="2">
        <f t="shared" si="31"/>
        <v>2.1284682318174357</v>
      </c>
    </row>
    <row r="1005" spans="1:10" x14ac:dyDescent="0.3">
      <c r="A1005" s="1">
        <v>45380</v>
      </c>
      <c r="B1005">
        <v>839.41</v>
      </c>
      <c r="C1005">
        <v>238.9</v>
      </c>
      <c r="D1005">
        <v>0</v>
      </c>
      <c r="E1005" s="2" t="s">
        <v>13</v>
      </c>
      <c r="F1005" s="2" t="s">
        <v>9</v>
      </c>
      <c r="G1005" s="2" t="s">
        <v>19</v>
      </c>
      <c r="H1005" s="2" t="s">
        <v>20</v>
      </c>
      <c r="I1005" s="2">
        <f t="shared" si="30"/>
        <v>600.51</v>
      </c>
      <c r="J1005" s="2">
        <f t="shared" si="31"/>
        <v>2.5136458769359562</v>
      </c>
    </row>
    <row r="1006" spans="1:10" x14ac:dyDescent="0.3">
      <c r="A1006" s="1">
        <v>45370</v>
      </c>
      <c r="B1006">
        <v>1430.29</v>
      </c>
      <c r="C1006">
        <v>184.69</v>
      </c>
      <c r="D1006">
        <v>2</v>
      </c>
      <c r="E1006" s="2" t="s">
        <v>8</v>
      </c>
      <c r="F1006" s="2" t="s">
        <v>17</v>
      </c>
      <c r="G1006" s="2" t="s">
        <v>10</v>
      </c>
      <c r="H1006" s="2" t="s">
        <v>11</v>
      </c>
      <c r="I1006" s="2">
        <f t="shared" si="30"/>
        <v>1245.5999999999999</v>
      </c>
      <c r="J1006" s="2">
        <f t="shared" si="31"/>
        <v>6.7442741891818718</v>
      </c>
    </row>
    <row r="1007" spans="1:10" x14ac:dyDescent="0.3">
      <c r="A1007" s="1">
        <v>45318</v>
      </c>
      <c r="B1007">
        <v>56.43</v>
      </c>
      <c r="C1007">
        <v>131.13999999999999</v>
      </c>
      <c r="D1007">
        <v>8</v>
      </c>
      <c r="E1007" s="2" t="s">
        <v>16</v>
      </c>
      <c r="F1007" s="2" t="s">
        <v>17</v>
      </c>
      <c r="G1007" s="2" t="s">
        <v>14</v>
      </c>
      <c r="H1007" s="2" t="s">
        <v>15</v>
      </c>
      <c r="I1007" s="2">
        <f t="shared" si="30"/>
        <v>-74.70999999999998</v>
      </c>
      <c r="J1007" s="2">
        <f t="shared" si="31"/>
        <v>-0.56969650754918399</v>
      </c>
    </row>
    <row r="1008" spans="1:10" x14ac:dyDescent="0.3">
      <c r="A1008" s="1">
        <v>45380</v>
      </c>
      <c r="B1008">
        <v>354.01</v>
      </c>
      <c r="C1008">
        <v>362.67</v>
      </c>
      <c r="D1008">
        <v>10</v>
      </c>
      <c r="E1008" s="2" t="s">
        <v>16</v>
      </c>
      <c r="F1008" s="2" t="s">
        <v>17</v>
      </c>
      <c r="G1008" s="2" t="s">
        <v>12</v>
      </c>
      <c r="H1008" s="2" t="s">
        <v>11</v>
      </c>
      <c r="I1008" s="2">
        <f t="shared" si="30"/>
        <v>-8.660000000000025</v>
      </c>
      <c r="J1008" s="2">
        <f t="shared" si="31"/>
        <v>-2.3878456999476175E-2</v>
      </c>
    </row>
    <row r="1009" spans="1:10" x14ac:dyDescent="0.3">
      <c r="A1009" s="1">
        <v>45397</v>
      </c>
      <c r="B1009">
        <v>1066.27</v>
      </c>
      <c r="C1009">
        <v>318</v>
      </c>
      <c r="D1009">
        <v>9</v>
      </c>
      <c r="E1009" s="2" t="s">
        <v>16</v>
      </c>
      <c r="F1009" s="2" t="s">
        <v>17</v>
      </c>
      <c r="G1009" s="2" t="s">
        <v>12</v>
      </c>
      <c r="H1009" s="2" t="s">
        <v>11</v>
      </c>
      <c r="I1009" s="2">
        <f t="shared" si="30"/>
        <v>748.27</v>
      </c>
      <c r="J1009" s="2">
        <f t="shared" si="31"/>
        <v>2.3530503144654089</v>
      </c>
    </row>
    <row r="1010" spans="1:10" x14ac:dyDescent="0.3">
      <c r="A1010" s="1">
        <v>45360</v>
      </c>
      <c r="B1010">
        <v>1063.83</v>
      </c>
      <c r="C1010">
        <v>202.47</v>
      </c>
      <c r="D1010">
        <v>7</v>
      </c>
      <c r="E1010" s="2" t="s">
        <v>8</v>
      </c>
      <c r="F1010" s="2" t="s">
        <v>17</v>
      </c>
      <c r="G1010" s="2" t="s">
        <v>19</v>
      </c>
      <c r="H1010" s="2" t="s">
        <v>18</v>
      </c>
      <c r="I1010" s="2">
        <f t="shared" si="30"/>
        <v>861.3599999999999</v>
      </c>
      <c r="J1010" s="2">
        <f t="shared" si="31"/>
        <v>4.2542598903541258</v>
      </c>
    </row>
    <row r="1011" spans="1:10" x14ac:dyDescent="0.3">
      <c r="A1011" s="1">
        <v>45299</v>
      </c>
      <c r="B1011">
        <v>1161.8</v>
      </c>
      <c r="C1011">
        <v>277.43</v>
      </c>
      <c r="D1011">
        <v>3</v>
      </c>
      <c r="E1011" s="2" t="s">
        <v>8</v>
      </c>
      <c r="F1011" s="2" t="s">
        <v>17</v>
      </c>
      <c r="G1011" s="2" t="s">
        <v>10</v>
      </c>
      <c r="H1011" s="2" t="s">
        <v>20</v>
      </c>
      <c r="I1011" s="2">
        <f t="shared" si="30"/>
        <v>884.36999999999989</v>
      </c>
      <c r="J1011" s="2">
        <f t="shared" si="31"/>
        <v>3.1877230292325986</v>
      </c>
    </row>
    <row r="1012" spans="1:10" x14ac:dyDescent="0.3">
      <c r="A1012" s="1">
        <v>45353</v>
      </c>
      <c r="B1012">
        <v>1164.9100000000001</v>
      </c>
      <c r="C1012">
        <v>320.47000000000003</v>
      </c>
      <c r="D1012">
        <v>0</v>
      </c>
      <c r="E1012" s="2" t="s">
        <v>8</v>
      </c>
      <c r="F1012" s="2" t="s">
        <v>17</v>
      </c>
      <c r="G1012" s="2" t="s">
        <v>19</v>
      </c>
      <c r="H1012" s="2" t="s">
        <v>11</v>
      </c>
      <c r="I1012" s="2">
        <f t="shared" si="30"/>
        <v>844.44</v>
      </c>
      <c r="J1012" s="2">
        <f t="shared" si="31"/>
        <v>2.6350048366461758</v>
      </c>
    </row>
    <row r="1013" spans="1:10" x14ac:dyDescent="0.3">
      <c r="A1013" s="1">
        <v>45307</v>
      </c>
      <c r="B1013">
        <v>1313.19</v>
      </c>
      <c r="C1013">
        <v>403.29</v>
      </c>
      <c r="D1013">
        <v>3</v>
      </c>
      <c r="E1013" s="2" t="s">
        <v>16</v>
      </c>
      <c r="F1013" s="2" t="s">
        <v>17</v>
      </c>
      <c r="G1013" s="2" t="s">
        <v>12</v>
      </c>
      <c r="H1013" s="2" t="s">
        <v>20</v>
      </c>
      <c r="I1013" s="2">
        <f t="shared" si="30"/>
        <v>909.90000000000009</v>
      </c>
      <c r="J1013" s="2">
        <f t="shared" si="31"/>
        <v>2.2561928141039949</v>
      </c>
    </row>
    <row r="1014" spans="1:10" x14ac:dyDescent="0.3">
      <c r="A1014" s="1">
        <v>45319</v>
      </c>
      <c r="B1014">
        <v>1377.4</v>
      </c>
      <c r="C1014">
        <v>214.78</v>
      </c>
      <c r="D1014">
        <v>3</v>
      </c>
      <c r="E1014" s="2" t="s">
        <v>13</v>
      </c>
      <c r="F1014" s="2" t="s">
        <v>9</v>
      </c>
      <c r="G1014" s="2" t="s">
        <v>19</v>
      </c>
      <c r="H1014" s="2" t="s">
        <v>11</v>
      </c>
      <c r="I1014" s="2">
        <f t="shared" si="30"/>
        <v>1162.6200000000001</v>
      </c>
      <c r="J1014" s="2">
        <f t="shared" si="31"/>
        <v>5.4130738430021426</v>
      </c>
    </row>
    <row r="1015" spans="1:10" x14ac:dyDescent="0.3">
      <c r="A1015" s="1">
        <v>45335</v>
      </c>
      <c r="B1015">
        <v>146.84</v>
      </c>
      <c r="C1015">
        <v>43.78</v>
      </c>
      <c r="D1015">
        <v>6</v>
      </c>
      <c r="E1015" s="2" t="s">
        <v>13</v>
      </c>
      <c r="F1015" s="2" t="s">
        <v>17</v>
      </c>
      <c r="G1015" s="2" t="s">
        <v>10</v>
      </c>
      <c r="H1015" s="2" t="s">
        <v>20</v>
      </c>
      <c r="I1015" s="2">
        <f t="shared" si="30"/>
        <v>103.06</v>
      </c>
      <c r="J1015" s="2">
        <f t="shared" si="31"/>
        <v>2.3540429419826405</v>
      </c>
    </row>
    <row r="1016" spans="1:10" x14ac:dyDescent="0.3">
      <c r="A1016" s="1">
        <v>45330</v>
      </c>
      <c r="B1016">
        <v>552.23</v>
      </c>
      <c r="C1016">
        <v>389.54</v>
      </c>
      <c r="D1016">
        <v>1</v>
      </c>
      <c r="E1016" s="2" t="s">
        <v>8</v>
      </c>
      <c r="F1016" s="2" t="s">
        <v>17</v>
      </c>
      <c r="G1016" s="2" t="s">
        <v>14</v>
      </c>
      <c r="H1016" s="2" t="s">
        <v>11</v>
      </c>
      <c r="I1016" s="2">
        <f t="shared" si="30"/>
        <v>162.69</v>
      </c>
      <c r="J1016" s="2">
        <f t="shared" si="31"/>
        <v>0.41764645479283252</v>
      </c>
    </row>
    <row r="1017" spans="1:10" x14ac:dyDescent="0.3">
      <c r="A1017" s="1">
        <v>45368</v>
      </c>
      <c r="B1017">
        <v>1325.81</v>
      </c>
      <c r="C1017">
        <v>103.73</v>
      </c>
      <c r="D1017">
        <v>6</v>
      </c>
      <c r="E1017" s="2" t="s">
        <v>13</v>
      </c>
      <c r="F1017" s="2" t="s">
        <v>9</v>
      </c>
      <c r="G1017" s="2" t="s">
        <v>19</v>
      </c>
      <c r="H1017" s="2" t="s">
        <v>20</v>
      </c>
      <c r="I1017" s="2">
        <f t="shared" si="30"/>
        <v>1222.08</v>
      </c>
      <c r="J1017" s="2">
        <f t="shared" si="31"/>
        <v>11.781355442012917</v>
      </c>
    </row>
    <row r="1018" spans="1:10" x14ac:dyDescent="0.3">
      <c r="A1018" s="1">
        <v>45332</v>
      </c>
      <c r="B1018">
        <v>1208.24</v>
      </c>
      <c r="C1018">
        <v>248.26</v>
      </c>
      <c r="D1018">
        <v>1</v>
      </c>
      <c r="E1018" s="2" t="s">
        <v>16</v>
      </c>
      <c r="F1018" s="2" t="s">
        <v>17</v>
      </c>
      <c r="G1018" s="2" t="s">
        <v>12</v>
      </c>
      <c r="H1018" s="2" t="s">
        <v>15</v>
      </c>
      <c r="I1018" s="2">
        <f t="shared" si="30"/>
        <v>959.98</v>
      </c>
      <c r="J1018" s="2">
        <f t="shared" si="31"/>
        <v>3.8668331587851448</v>
      </c>
    </row>
    <row r="1019" spans="1:10" x14ac:dyDescent="0.3">
      <c r="A1019" s="1">
        <v>45331</v>
      </c>
      <c r="B1019">
        <v>1046.8900000000001</v>
      </c>
      <c r="C1019">
        <v>137.46</v>
      </c>
      <c r="D1019">
        <v>4</v>
      </c>
      <c r="E1019" s="2" t="s">
        <v>16</v>
      </c>
      <c r="F1019" s="2" t="s">
        <v>17</v>
      </c>
      <c r="G1019" s="2" t="s">
        <v>14</v>
      </c>
      <c r="H1019" s="2" t="s">
        <v>20</v>
      </c>
      <c r="I1019" s="2">
        <f t="shared" si="30"/>
        <v>909.43000000000006</v>
      </c>
      <c r="J1019" s="2">
        <f t="shared" si="31"/>
        <v>6.6159610068383534</v>
      </c>
    </row>
    <row r="1020" spans="1:10" x14ac:dyDescent="0.3">
      <c r="A1020" s="1">
        <v>45375</v>
      </c>
      <c r="B1020">
        <v>1271.24</v>
      </c>
      <c r="C1020">
        <v>230.18</v>
      </c>
      <c r="D1020">
        <v>6</v>
      </c>
      <c r="E1020" s="2" t="s">
        <v>16</v>
      </c>
      <c r="F1020" s="2" t="s">
        <v>17</v>
      </c>
      <c r="G1020" s="2" t="s">
        <v>10</v>
      </c>
      <c r="H1020" s="2" t="s">
        <v>18</v>
      </c>
      <c r="I1020" s="2">
        <f t="shared" si="30"/>
        <v>1041.06</v>
      </c>
      <c r="J1020" s="2">
        <f t="shared" si="31"/>
        <v>4.5228082370318878</v>
      </c>
    </row>
    <row r="1021" spans="1:10" x14ac:dyDescent="0.3">
      <c r="A1021" s="1">
        <v>45380</v>
      </c>
      <c r="B1021">
        <v>1104.04</v>
      </c>
      <c r="C1021">
        <v>291.32</v>
      </c>
      <c r="D1021">
        <v>2</v>
      </c>
      <c r="E1021" s="2" t="s">
        <v>8</v>
      </c>
      <c r="F1021" s="2" t="s">
        <v>17</v>
      </c>
      <c r="G1021" s="2" t="s">
        <v>14</v>
      </c>
      <c r="H1021" s="2" t="s">
        <v>11</v>
      </c>
      <c r="I1021" s="2">
        <f t="shared" si="30"/>
        <v>812.72</v>
      </c>
      <c r="J1021" s="2">
        <f t="shared" si="31"/>
        <v>2.7897844294933409</v>
      </c>
    </row>
    <row r="1022" spans="1:10" x14ac:dyDescent="0.3">
      <c r="A1022" s="1">
        <v>45371</v>
      </c>
      <c r="B1022">
        <v>291.08</v>
      </c>
      <c r="C1022">
        <v>121.76</v>
      </c>
      <c r="D1022">
        <v>10</v>
      </c>
      <c r="E1022" s="2" t="s">
        <v>16</v>
      </c>
      <c r="F1022" s="2" t="s">
        <v>17</v>
      </c>
      <c r="G1022" s="2" t="s">
        <v>10</v>
      </c>
      <c r="H1022" s="2" t="s">
        <v>11</v>
      </c>
      <c r="I1022" s="2">
        <f t="shared" si="30"/>
        <v>169.32</v>
      </c>
      <c r="J1022" s="2">
        <f t="shared" si="31"/>
        <v>1.3906044678055189</v>
      </c>
    </row>
    <row r="1023" spans="1:10" x14ac:dyDescent="0.3">
      <c r="A1023" s="1">
        <v>45390</v>
      </c>
      <c r="B1023">
        <v>416.34</v>
      </c>
      <c r="C1023">
        <v>340.41</v>
      </c>
      <c r="D1023">
        <v>8</v>
      </c>
      <c r="E1023" s="2" t="s">
        <v>16</v>
      </c>
      <c r="F1023" s="2" t="s">
        <v>9</v>
      </c>
      <c r="G1023" s="2" t="s">
        <v>19</v>
      </c>
      <c r="H1023" s="2" t="s">
        <v>11</v>
      </c>
      <c r="I1023" s="2">
        <f t="shared" si="30"/>
        <v>75.92999999999995</v>
      </c>
      <c r="J1023" s="2">
        <f t="shared" si="31"/>
        <v>0.22305455186392864</v>
      </c>
    </row>
    <row r="1024" spans="1:10" x14ac:dyDescent="0.3">
      <c r="A1024" s="1">
        <v>45389</v>
      </c>
      <c r="B1024">
        <v>298.5</v>
      </c>
      <c r="C1024">
        <v>283.89999999999998</v>
      </c>
      <c r="D1024">
        <v>10</v>
      </c>
      <c r="E1024" s="2" t="s">
        <v>8</v>
      </c>
      <c r="F1024" s="2" t="s">
        <v>17</v>
      </c>
      <c r="G1024" s="2" t="s">
        <v>10</v>
      </c>
      <c r="H1024" s="2" t="s">
        <v>20</v>
      </c>
      <c r="I1024" s="2">
        <f t="shared" si="30"/>
        <v>14.600000000000023</v>
      </c>
      <c r="J1024" s="2">
        <f t="shared" si="31"/>
        <v>5.1426558647411143E-2</v>
      </c>
    </row>
    <row r="1025" spans="1:10" x14ac:dyDescent="0.3">
      <c r="A1025" s="1">
        <v>45344</v>
      </c>
      <c r="B1025">
        <v>158.94</v>
      </c>
      <c r="C1025">
        <v>435.46</v>
      </c>
      <c r="D1025">
        <v>9</v>
      </c>
      <c r="E1025" s="2" t="s">
        <v>13</v>
      </c>
      <c r="F1025" s="2" t="s">
        <v>17</v>
      </c>
      <c r="G1025" s="2" t="s">
        <v>19</v>
      </c>
      <c r="H1025" s="2" t="s">
        <v>15</v>
      </c>
      <c r="I1025" s="2">
        <f t="shared" si="30"/>
        <v>-276.52</v>
      </c>
      <c r="J1025" s="2">
        <f t="shared" si="31"/>
        <v>-0.63500665962430536</v>
      </c>
    </row>
    <row r="1026" spans="1:10" x14ac:dyDescent="0.3">
      <c r="A1026" s="1">
        <v>45327</v>
      </c>
      <c r="B1026">
        <v>782.37</v>
      </c>
      <c r="C1026">
        <v>78.77</v>
      </c>
      <c r="D1026">
        <v>3</v>
      </c>
      <c r="E1026" s="2" t="s">
        <v>16</v>
      </c>
      <c r="F1026" s="2" t="s">
        <v>17</v>
      </c>
      <c r="G1026" s="2" t="s">
        <v>12</v>
      </c>
      <c r="H1026" s="2" t="s">
        <v>15</v>
      </c>
      <c r="I1026" s="2">
        <f t="shared" ref="I1026:I1089" si="32">B1026-C1026</f>
        <v>703.6</v>
      </c>
      <c r="J1026" s="2">
        <f t="shared" ref="J1026:J1089" si="33">IF(C1026=0,0,I1026/C1026)</f>
        <v>8.9323346451694814</v>
      </c>
    </row>
    <row r="1027" spans="1:10" x14ac:dyDescent="0.3">
      <c r="A1027" s="1">
        <v>45400</v>
      </c>
      <c r="B1027">
        <v>448.23</v>
      </c>
      <c r="C1027">
        <v>198</v>
      </c>
      <c r="D1027">
        <v>6</v>
      </c>
      <c r="E1027" s="2" t="s">
        <v>8</v>
      </c>
      <c r="F1027" s="2" t="s">
        <v>17</v>
      </c>
      <c r="G1027" s="2" t="s">
        <v>19</v>
      </c>
      <c r="H1027" s="2" t="s">
        <v>11</v>
      </c>
      <c r="I1027" s="2">
        <f t="shared" si="32"/>
        <v>250.23000000000002</v>
      </c>
      <c r="J1027" s="2">
        <f t="shared" si="33"/>
        <v>1.2637878787878789</v>
      </c>
    </row>
    <row r="1028" spans="1:10" x14ac:dyDescent="0.3">
      <c r="A1028" s="1">
        <v>45389</v>
      </c>
      <c r="B1028">
        <v>256.14</v>
      </c>
      <c r="C1028">
        <v>171.29</v>
      </c>
      <c r="D1028">
        <v>3</v>
      </c>
      <c r="E1028" s="2" t="s">
        <v>13</v>
      </c>
      <c r="F1028" s="2" t="s">
        <v>17</v>
      </c>
      <c r="G1028" s="2" t="s">
        <v>14</v>
      </c>
      <c r="H1028" s="2" t="s">
        <v>20</v>
      </c>
      <c r="I1028" s="2">
        <f t="shared" si="32"/>
        <v>84.85</v>
      </c>
      <c r="J1028" s="2">
        <f t="shared" si="33"/>
        <v>0.49535874832155991</v>
      </c>
    </row>
    <row r="1029" spans="1:10" x14ac:dyDescent="0.3">
      <c r="A1029" s="1">
        <v>45360</v>
      </c>
      <c r="B1029">
        <v>550.36</v>
      </c>
      <c r="C1029">
        <v>48.44</v>
      </c>
      <c r="D1029">
        <v>9</v>
      </c>
      <c r="E1029" s="2" t="s">
        <v>13</v>
      </c>
      <c r="F1029" s="2" t="s">
        <v>17</v>
      </c>
      <c r="G1029" s="2" t="s">
        <v>19</v>
      </c>
      <c r="H1029" s="2" t="s">
        <v>15</v>
      </c>
      <c r="I1029" s="2">
        <f t="shared" si="32"/>
        <v>501.92</v>
      </c>
      <c r="J1029" s="2">
        <f t="shared" si="33"/>
        <v>10.361684558216352</v>
      </c>
    </row>
    <row r="1030" spans="1:10" x14ac:dyDescent="0.3">
      <c r="A1030" s="1">
        <v>45344</v>
      </c>
      <c r="B1030">
        <v>984.94</v>
      </c>
      <c r="C1030">
        <v>52.93</v>
      </c>
      <c r="D1030">
        <v>4</v>
      </c>
      <c r="E1030" s="2" t="s">
        <v>8</v>
      </c>
      <c r="F1030" s="2" t="s">
        <v>17</v>
      </c>
      <c r="G1030" s="2" t="s">
        <v>14</v>
      </c>
      <c r="H1030" s="2" t="s">
        <v>18</v>
      </c>
      <c r="I1030" s="2">
        <f t="shared" si="32"/>
        <v>932.0100000000001</v>
      </c>
      <c r="J1030" s="2">
        <f t="shared" si="33"/>
        <v>17.608350651804273</v>
      </c>
    </row>
    <row r="1031" spans="1:10" x14ac:dyDescent="0.3">
      <c r="A1031" s="1">
        <v>45302</v>
      </c>
      <c r="B1031">
        <v>483.88</v>
      </c>
      <c r="C1031">
        <v>337.74</v>
      </c>
      <c r="D1031">
        <v>5</v>
      </c>
      <c r="E1031" s="2" t="s">
        <v>16</v>
      </c>
      <c r="F1031" s="2" t="s">
        <v>9</v>
      </c>
      <c r="G1031" s="2" t="s">
        <v>14</v>
      </c>
      <c r="H1031" s="2" t="s">
        <v>11</v>
      </c>
      <c r="I1031" s="2">
        <f t="shared" si="32"/>
        <v>146.13999999999999</v>
      </c>
      <c r="J1031" s="2">
        <f t="shared" si="33"/>
        <v>0.43269970983596845</v>
      </c>
    </row>
    <row r="1032" spans="1:10" x14ac:dyDescent="0.3">
      <c r="A1032" s="1">
        <v>45412</v>
      </c>
      <c r="B1032">
        <v>389.59</v>
      </c>
      <c r="C1032">
        <v>126.42</v>
      </c>
      <c r="D1032">
        <v>1</v>
      </c>
      <c r="E1032" s="2" t="s">
        <v>8</v>
      </c>
      <c r="F1032" s="2" t="s">
        <v>9</v>
      </c>
      <c r="G1032" s="2" t="s">
        <v>12</v>
      </c>
      <c r="H1032" s="2" t="s">
        <v>15</v>
      </c>
      <c r="I1032" s="2">
        <f t="shared" si="32"/>
        <v>263.16999999999996</v>
      </c>
      <c r="J1032" s="2">
        <f t="shared" si="33"/>
        <v>2.0817117544692292</v>
      </c>
    </row>
    <row r="1033" spans="1:10" x14ac:dyDescent="0.3">
      <c r="A1033" s="1">
        <v>45293</v>
      </c>
      <c r="B1033">
        <v>714.5</v>
      </c>
      <c r="C1033">
        <v>26.9</v>
      </c>
      <c r="D1033">
        <v>0</v>
      </c>
      <c r="E1033" s="2" t="s">
        <v>8</v>
      </c>
      <c r="F1033" s="2" t="s">
        <v>9</v>
      </c>
      <c r="G1033" s="2" t="s">
        <v>14</v>
      </c>
      <c r="H1033" s="2" t="s">
        <v>20</v>
      </c>
      <c r="I1033" s="2">
        <f t="shared" si="32"/>
        <v>687.6</v>
      </c>
      <c r="J1033" s="2">
        <f t="shared" si="33"/>
        <v>25.561338289962826</v>
      </c>
    </row>
    <row r="1034" spans="1:10" x14ac:dyDescent="0.3">
      <c r="A1034" s="1">
        <v>45300</v>
      </c>
      <c r="B1034">
        <v>457.89</v>
      </c>
      <c r="C1034">
        <v>25.32</v>
      </c>
      <c r="D1034">
        <v>8</v>
      </c>
      <c r="E1034" s="2" t="s">
        <v>13</v>
      </c>
      <c r="F1034" s="2" t="s">
        <v>9</v>
      </c>
      <c r="G1034" s="2" t="s">
        <v>12</v>
      </c>
      <c r="H1034" s="2" t="s">
        <v>15</v>
      </c>
      <c r="I1034" s="2">
        <f t="shared" si="32"/>
        <v>432.57</v>
      </c>
      <c r="J1034" s="2">
        <f t="shared" si="33"/>
        <v>17.084123222748815</v>
      </c>
    </row>
    <row r="1035" spans="1:10" x14ac:dyDescent="0.3">
      <c r="A1035" s="1">
        <v>45371</v>
      </c>
      <c r="B1035">
        <v>1388.27</v>
      </c>
      <c r="C1035">
        <v>166.43</v>
      </c>
      <c r="D1035">
        <v>4</v>
      </c>
      <c r="E1035" s="2" t="s">
        <v>8</v>
      </c>
      <c r="F1035" s="2" t="s">
        <v>17</v>
      </c>
      <c r="G1035" s="2" t="s">
        <v>19</v>
      </c>
      <c r="H1035" s="2" t="s">
        <v>20</v>
      </c>
      <c r="I1035" s="2">
        <f t="shared" si="32"/>
        <v>1221.8399999999999</v>
      </c>
      <c r="J1035" s="2">
        <f t="shared" si="33"/>
        <v>7.3414648801297835</v>
      </c>
    </row>
    <row r="1036" spans="1:10" x14ac:dyDescent="0.3">
      <c r="A1036" s="1">
        <v>45364</v>
      </c>
      <c r="B1036">
        <v>729.11</v>
      </c>
      <c r="C1036">
        <v>168.9</v>
      </c>
      <c r="D1036">
        <v>9</v>
      </c>
      <c r="E1036" s="2" t="s">
        <v>13</v>
      </c>
      <c r="F1036" s="2" t="s">
        <v>17</v>
      </c>
      <c r="G1036" s="2" t="s">
        <v>12</v>
      </c>
      <c r="H1036" s="2" t="s">
        <v>20</v>
      </c>
      <c r="I1036" s="2">
        <f t="shared" si="32"/>
        <v>560.21</v>
      </c>
      <c r="J1036" s="2">
        <f t="shared" si="33"/>
        <v>3.3168146832445236</v>
      </c>
    </row>
    <row r="1037" spans="1:10" x14ac:dyDescent="0.3">
      <c r="A1037" s="1">
        <v>45390</v>
      </c>
      <c r="B1037">
        <v>263.93</v>
      </c>
      <c r="C1037">
        <v>197.28</v>
      </c>
      <c r="D1037">
        <v>10</v>
      </c>
      <c r="E1037" s="2" t="s">
        <v>16</v>
      </c>
      <c r="F1037" s="2" t="s">
        <v>17</v>
      </c>
      <c r="G1037" s="2" t="s">
        <v>19</v>
      </c>
      <c r="H1037" s="2" t="s">
        <v>20</v>
      </c>
      <c r="I1037" s="2">
        <f t="shared" si="32"/>
        <v>66.650000000000006</v>
      </c>
      <c r="J1037" s="2">
        <f t="shared" si="33"/>
        <v>0.33784468775344689</v>
      </c>
    </row>
    <row r="1038" spans="1:10" x14ac:dyDescent="0.3">
      <c r="A1038" s="1">
        <v>45366</v>
      </c>
      <c r="B1038">
        <v>559.41999999999996</v>
      </c>
      <c r="C1038">
        <v>102.48</v>
      </c>
      <c r="D1038">
        <v>6</v>
      </c>
      <c r="E1038" s="2" t="s">
        <v>13</v>
      </c>
      <c r="F1038" s="2" t="s">
        <v>17</v>
      </c>
      <c r="G1038" s="2" t="s">
        <v>19</v>
      </c>
      <c r="H1038" s="2" t="s">
        <v>15</v>
      </c>
      <c r="I1038" s="2">
        <f t="shared" si="32"/>
        <v>456.93999999999994</v>
      </c>
      <c r="J1038" s="2">
        <f t="shared" si="33"/>
        <v>4.4588212334113964</v>
      </c>
    </row>
    <row r="1039" spans="1:10" x14ac:dyDescent="0.3">
      <c r="A1039" s="1">
        <v>45310</v>
      </c>
      <c r="B1039">
        <v>1305.46</v>
      </c>
      <c r="C1039">
        <v>324.2</v>
      </c>
      <c r="D1039">
        <v>9</v>
      </c>
      <c r="E1039" s="2" t="s">
        <v>13</v>
      </c>
      <c r="F1039" s="2" t="s">
        <v>9</v>
      </c>
      <c r="G1039" s="2" t="s">
        <v>19</v>
      </c>
      <c r="H1039" s="2" t="s">
        <v>18</v>
      </c>
      <c r="I1039" s="2">
        <f t="shared" si="32"/>
        <v>981.26</v>
      </c>
      <c r="J1039" s="2">
        <f t="shared" si="33"/>
        <v>3.0267119062307217</v>
      </c>
    </row>
    <row r="1040" spans="1:10" x14ac:dyDescent="0.3">
      <c r="A1040" s="1">
        <v>45378</v>
      </c>
      <c r="B1040">
        <v>705.42</v>
      </c>
      <c r="C1040">
        <v>118.86</v>
      </c>
      <c r="D1040">
        <v>2</v>
      </c>
      <c r="E1040" s="2" t="s">
        <v>13</v>
      </c>
      <c r="F1040" s="2" t="s">
        <v>17</v>
      </c>
      <c r="G1040" s="2" t="s">
        <v>10</v>
      </c>
      <c r="H1040" s="2" t="s">
        <v>18</v>
      </c>
      <c r="I1040" s="2">
        <f t="shared" si="32"/>
        <v>586.55999999999995</v>
      </c>
      <c r="J1040" s="2">
        <f t="shared" si="33"/>
        <v>4.9348813730439165</v>
      </c>
    </row>
    <row r="1041" spans="1:10" x14ac:dyDescent="0.3">
      <c r="A1041" s="1">
        <v>45297</v>
      </c>
      <c r="B1041">
        <v>97.41</v>
      </c>
      <c r="C1041">
        <v>344.94</v>
      </c>
      <c r="D1041">
        <v>2</v>
      </c>
      <c r="E1041" s="2" t="s">
        <v>8</v>
      </c>
      <c r="F1041" s="2" t="s">
        <v>17</v>
      </c>
      <c r="G1041" s="2" t="s">
        <v>19</v>
      </c>
      <c r="H1041" s="2" t="s">
        <v>20</v>
      </c>
      <c r="I1041" s="2">
        <f t="shared" si="32"/>
        <v>-247.53</v>
      </c>
      <c r="J1041" s="2">
        <f t="shared" si="33"/>
        <v>-0.71760306140198293</v>
      </c>
    </row>
    <row r="1042" spans="1:10" x14ac:dyDescent="0.3">
      <c r="A1042" s="1">
        <v>45365</v>
      </c>
      <c r="B1042">
        <v>1225.3</v>
      </c>
      <c r="C1042">
        <v>456.42</v>
      </c>
      <c r="D1042">
        <v>0</v>
      </c>
      <c r="E1042" s="2" t="s">
        <v>13</v>
      </c>
      <c r="F1042" s="2" t="s">
        <v>9</v>
      </c>
      <c r="G1042" s="2" t="s">
        <v>12</v>
      </c>
      <c r="H1042" s="2" t="s">
        <v>15</v>
      </c>
      <c r="I1042" s="2">
        <f t="shared" si="32"/>
        <v>768.87999999999988</v>
      </c>
      <c r="J1042" s="2">
        <f t="shared" si="33"/>
        <v>1.6845887559703778</v>
      </c>
    </row>
    <row r="1043" spans="1:10" x14ac:dyDescent="0.3">
      <c r="A1043" s="1">
        <v>45398</v>
      </c>
      <c r="B1043">
        <v>463.75</v>
      </c>
      <c r="C1043">
        <v>72.94</v>
      </c>
      <c r="D1043">
        <v>3</v>
      </c>
      <c r="E1043" s="2" t="s">
        <v>16</v>
      </c>
      <c r="F1043" s="2" t="s">
        <v>17</v>
      </c>
      <c r="G1043" s="2" t="s">
        <v>10</v>
      </c>
      <c r="H1043" s="2" t="s">
        <v>20</v>
      </c>
      <c r="I1043" s="2">
        <f t="shared" si="32"/>
        <v>390.81</v>
      </c>
      <c r="J1043" s="2">
        <f t="shared" si="33"/>
        <v>5.3579654510556622</v>
      </c>
    </row>
    <row r="1044" spans="1:10" x14ac:dyDescent="0.3">
      <c r="A1044" s="1">
        <v>45363</v>
      </c>
      <c r="B1044">
        <v>1153.49</v>
      </c>
      <c r="C1044">
        <v>55.51</v>
      </c>
      <c r="D1044">
        <v>6</v>
      </c>
      <c r="E1044" s="2" t="s">
        <v>16</v>
      </c>
      <c r="F1044" s="2" t="s">
        <v>9</v>
      </c>
      <c r="G1044" s="2" t="s">
        <v>19</v>
      </c>
      <c r="H1044" s="2" t="s">
        <v>20</v>
      </c>
      <c r="I1044" s="2">
        <f t="shared" si="32"/>
        <v>1097.98</v>
      </c>
      <c r="J1044" s="2">
        <f t="shared" si="33"/>
        <v>19.779859484777518</v>
      </c>
    </row>
    <row r="1045" spans="1:10" x14ac:dyDescent="0.3">
      <c r="A1045" s="1">
        <v>45357</v>
      </c>
      <c r="B1045">
        <v>67.17</v>
      </c>
      <c r="C1045">
        <v>154.58000000000001</v>
      </c>
      <c r="D1045">
        <v>0</v>
      </c>
      <c r="E1045" s="2" t="s">
        <v>13</v>
      </c>
      <c r="F1045" s="2" t="s">
        <v>17</v>
      </c>
      <c r="G1045" s="2" t="s">
        <v>10</v>
      </c>
      <c r="H1045" s="2" t="s">
        <v>18</v>
      </c>
      <c r="I1045" s="2">
        <f t="shared" si="32"/>
        <v>-87.410000000000011</v>
      </c>
      <c r="J1045" s="2">
        <f t="shared" si="33"/>
        <v>-0.56546771898046322</v>
      </c>
    </row>
    <row r="1046" spans="1:10" x14ac:dyDescent="0.3">
      <c r="A1046" s="1">
        <v>45296</v>
      </c>
      <c r="B1046">
        <v>1371.48</v>
      </c>
      <c r="C1046">
        <v>113.39</v>
      </c>
      <c r="D1046">
        <v>5</v>
      </c>
      <c r="E1046" s="2" t="s">
        <v>16</v>
      </c>
      <c r="F1046" s="2" t="s">
        <v>9</v>
      </c>
      <c r="G1046" s="2" t="s">
        <v>10</v>
      </c>
      <c r="H1046" s="2" t="s">
        <v>15</v>
      </c>
      <c r="I1046" s="2">
        <f t="shared" si="32"/>
        <v>1258.0899999999999</v>
      </c>
      <c r="J1046" s="2">
        <f t="shared" si="33"/>
        <v>11.095246494399857</v>
      </c>
    </row>
    <row r="1047" spans="1:10" x14ac:dyDescent="0.3">
      <c r="A1047" s="1">
        <v>45378</v>
      </c>
      <c r="B1047">
        <v>921.31</v>
      </c>
      <c r="C1047">
        <v>462.43</v>
      </c>
      <c r="D1047">
        <v>3</v>
      </c>
      <c r="E1047" s="2" t="s">
        <v>16</v>
      </c>
      <c r="F1047" s="2" t="s">
        <v>17</v>
      </c>
      <c r="G1047" s="2" t="s">
        <v>14</v>
      </c>
      <c r="H1047" s="2" t="s">
        <v>20</v>
      </c>
      <c r="I1047" s="2">
        <f t="shared" si="32"/>
        <v>458.87999999999994</v>
      </c>
      <c r="J1047" s="2">
        <f t="shared" si="33"/>
        <v>0.99232316242458307</v>
      </c>
    </row>
    <row r="1048" spans="1:10" x14ac:dyDescent="0.3">
      <c r="A1048" s="1">
        <v>45353</v>
      </c>
      <c r="B1048">
        <v>1453.8</v>
      </c>
      <c r="C1048">
        <v>405.97</v>
      </c>
      <c r="D1048">
        <v>2</v>
      </c>
      <c r="E1048" s="2" t="s">
        <v>16</v>
      </c>
      <c r="F1048" s="2" t="s">
        <v>17</v>
      </c>
      <c r="G1048" s="2" t="s">
        <v>19</v>
      </c>
      <c r="H1048" s="2" t="s">
        <v>15</v>
      </c>
      <c r="I1048" s="2">
        <f t="shared" si="32"/>
        <v>1047.83</v>
      </c>
      <c r="J1048" s="2">
        <f t="shared" si="33"/>
        <v>2.5810527871517595</v>
      </c>
    </row>
    <row r="1049" spans="1:10" x14ac:dyDescent="0.3">
      <c r="A1049" s="1">
        <v>45320</v>
      </c>
      <c r="B1049">
        <v>943.86</v>
      </c>
      <c r="C1049">
        <v>142.6</v>
      </c>
      <c r="D1049">
        <v>2</v>
      </c>
      <c r="E1049" s="2" t="s">
        <v>16</v>
      </c>
      <c r="F1049" s="2" t="s">
        <v>17</v>
      </c>
      <c r="G1049" s="2" t="s">
        <v>10</v>
      </c>
      <c r="H1049" s="2" t="s">
        <v>11</v>
      </c>
      <c r="I1049" s="2">
        <f t="shared" si="32"/>
        <v>801.26</v>
      </c>
      <c r="J1049" s="2">
        <f t="shared" si="33"/>
        <v>5.6189340813464241</v>
      </c>
    </row>
    <row r="1050" spans="1:10" x14ac:dyDescent="0.3">
      <c r="A1050" s="1">
        <v>45313</v>
      </c>
      <c r="B1050">
        <v>997.9</v>
      </c>
      <c r="C1050">
        <v>370.22</v>
      </c>
      <c r="D1050">
        <v>8</v>
      </c>
      <c r="E1050" s="2" t="s">
        <v>13</v>
      </c>
      <c r="F1050" s="2" t="s">
        <v>17</v>
      </c>
      <c r="G1050" s="2" t="s">
        <v>19</v>
      </c>
      <c r="H1050" s="2" t="s">
        <v>20</v>
      </c>
      <c r="I1050" s="2">
        <f t="shared" si="32"/>
        <v>627.67999999999995</v>
      </c>
      <c r="J1050" s="2">
        <f t="shared" si="33"/>
        <v>1.6954243422829667</v>
      </c>
    </row>
    <row r="1051" spans="1:10" x14ac:dyDescent="0.3">
      <c r="A1051" s="1">
        <v>45322</v>
      </c>
      <c r="B1051">
        <v>300.97000000000003</v>
      </c>
      <c r="C1051">
        <v>309.85000000000002</v>
      </c>
      <c r="D1051">
        <v>2</v>
      </c>
      <c r="E1051" s="2" t="s">
        <v>13</v>
      </c>
      <c r="F1051" s="2" t="s">
        <v>9</v>
      </c>
      <c r="G1051" s="2" t="s">
        <v>19</v>
      </c>
      <c r="H1051" s="2" t="s">
        <v>20</v>
      </c>
      <c r="I1051" s="2">
        <f t="shared" si="32"/>
        <v>-8.8799999999999955</v>
      </c>
      <c r="J1051" s="2">
        <f t="shared" si="33"/>
        <v>-2.8659028562207502E-2</v>
      </c>
    </row>
    <row r="1052" spans="1:10" x14ac:dyDescent="0.3">
      <c r="A1052" s="1">
        <v>45296</v>
      </c>
      <c r="B1052">
        <v>1213.49</v>
      </c>
      <c r="C1052">
        <v>276.36</v>
      </c>
      <c r="D1052">
        <v>9</v>
      </c>
      <c r="E1052" s="2" t="s">
        <v>13</v>
      </c>
      <c r="F1052" s="2" t="s">
        <v>17</v>
      </c>
      <c r="G1052" s="2" t="s">
        <v>12</v>
      </c>
      <c r="H1052" s="2" t="s">
        <v>20</v>
      </c>
      <c r="I1052" s="2">
        <f t="shared" si="32"/>
        <v>937.13</v>
      </c>
      <c r="J1052" s="2">
        <f t="shared" si="33"/>
        <v>3.3909755391518308</v>
      </c>
    </row>
    <row r="1053" spans="1:10" x14ac:dyDescent="0.3">
      <c r="A1053" s="1">
        <v>45384</v>
      </c>
      <c r="B1053">
        <v>657.74</v>
      </c>
      <c r="C1053">
        <v>27.69</v>
      </c>
      <c r="D1053">
        <v>8</v>
      </c>
      <c r="E1053" s="2" t="s">
        <v>8</v>
      </c>
      <c r="F1053" s="2" t="s">
        <v>17</v>
      </c>
      <c r="G1053" s="2" t="s">
        <v>14</v>
      </c>
      <c r="H1053" s="2" t="s">
        <v>18</v>
      </c>
      <c r="I1053" s="2">
        <f t="shared" si="32"/>
        <v>630.04999999999995</v>
      </c>
      <c r="J1053" s="2">
        <f t="shared" si="33"/>
        <v>22.753701697363667</v>
      </c>
    </row>
    <row r="1054" spans="1:10" x14ac:dyDescent="0.3">
      <c r="A1054" s="1">
        <v>45389</v>
      </c>
      <c r="B1054">
        <v>94.94</v>
      </c>
      <c r="C1054">
        <v>270.48</v>
      </c>
      <c r="D1054">
        <v>0</v>
      </c>
      <c r="E1054" s="2" t="s">
        <v>8</v>
      </c>
      <c r="F1054" s="2" t="s">
        <v>17</v>
      </c>
      <c r="G1054" s="2" t="s">
        <v>12</v>
      </c>
      <c r="H1054" s="2" t="s">
        <v>11</v>
      </c>
      <c r="I1054" s="2">
        <f t="shared" si="32"/>
        <v>-175.54000000000002</v>
      </c>
      <c r="J1054" s="2">
        <f t="shared" si="33"/>
        <v>-0.64899438036084001</v>
      </c>
    </row>
    <row r="1055" spans="1:10" x14ac:dyDescent="0.3">
      <c r="A1055" s="1">
        <v>45351</v>
      </c>
      <c r="B1055">
        <v>980.28</v>
      </c>
      <c r="C1055">
        <v>150.76</v>
      </c>
      <c r="D1055">
        <v>1</v>
      </c>
      <c r="E1055" s="2" t="s">
        <v>13</v>
      </c>
      <c r="F1055" s="2" t="s">
        <v>17</v>
      </c>
      <c r="G1055" s="2" t="s">
        <v>14</v>
      </c>
      <c r="H1055" s="2" t="s">
        <v>20</v>
      </c>
      <c r="I1055" s="2">
        <f t="shared" si="32"/>
        <v>829.52</v>
      </c>
      <c r="J1055" s="2">
        <f t="shared" si="33"/>
        <v>5.5022552401167424</v>
      </c>
    </row>
    <row r="1056" spans="1:10" x14ac:dyDescent="0.3">
      <c r="A1056" s="1">
        <v>45302</v>
      </c>
      <c r="B1056">
        <v>669.79</v>
      </c>
      <c r="C1056">
        <v>374.22</v>
      </c>
      <c r="D1056">
        <v>3</v>
      </c>
      <c r="E1056" s="2" t="s">
        <v>16</v>
      </c>
      <c r="F1056" s="2" t="s">
        <v>17</v>
      </c>
      <c r="G1056" s="2" t="s">
        <v>14</v>
      </c>
      <c r="H1056" s="2" t="s">
        <v>11</v>
      </c>
      <c r="I1056" s="2">
        <f t="shared" si="32"/>
        <v>295.56999999999994</v>
      </c>
      <c r="J1056" s="2">
        <f t="shared" si="33"/>
        <v>0.78982951205173402</v>
      </c>
    </row>
    <row r="1057" spans="1:10" x14ac:dyDescent="0.3">
      <c r="A1057" s="1">
        <v>45341</v>
      </c>
      <c r="B1057">
        <v>104.51</v>
      </c>
      <c r="C1057">
        <v>176.27</v>
      </c>
      <c r="D1057">
        <v>4</v>
      </c>
      <c r="E1057" s="2" t="s">
        <v>16</v>
      </c>
      <c r="F1057" s="2" t="s">
        <v>17</v>
      </c>
      <c r="G1057" s="2" t="s">
        <v>10</v>
      </c>
      <c r="H1057" s="2" t="s">
        <v>18</v>
      </c>
      <c r="I1057" s="2">
        <f t="shared" si="32"/>
        <v>-71.760000000000005</v>
      </c>
      <c r="J1057" s="2">
        <f t="shared" si="33"/>
        <v>-0.40710274011459691</v>
      </c>
    </row>
    <row r="1058" spans="1:10" x14ac:dyDescent="0.3">
      <c r="A1058" s="1">
        <v>45337</v>
      </c>
      <c r="B1058">
        <v>1085.76</v>
      </c>
      <c r="C1058">
        <v>179.61</v>
      </c>
      <c r="D1058">
        <v>10</v>
      </c>
      <c r="E1058" s="2" t="s">
        <v>8</v>
      </c>
      <c r="F1058" s="2" t="s">
        <v>17</v>
      </c>
      <c r="G1058" s="2" t="s">
        <v>14</v>
      </c>
      <c r="H1058" s="2" t="s">
        <v>18</v>
      </c>
      <c r="I1058" s="2">
        <f t="shared" si="32"/>
        <v>906.15</v>
      </c>
      <c r="J1058" s="2">
        <f t="shared" si="33"/>
        <v>5.0450977117087019</v>
      </c>
    </row>
    <row r="1059" spans="1:10" x14ac:dyDescent="0.3">
      <c r="A1059" s="1">
        <v>45340</v>
      </c>
      <c r="B1059">
        <v>1117.33</v>
      </c>
      <c r="C1059">
        <v>85.12</v>
      </c>
      <c r="D1059">
        <v>1</v>
      </c>
      <c r="E1059" s="2" t="s">
        <v>8</v>
      </c>
      <c r="F1059" s="2" t="s">
        <v>17</v>
      </c>
      <c r="G1059" s="2" t="s">
        <v>19</v>
      </c>
      <c r="H1059" s="2" t="s">
        <v>20</v>
      </c>
      <c r="I1059" s="2">
        <f t="shared" si="32"/>
        <v>1032.21</v>
      </c>
      <c r="J1059" s="2">
        <f t="shared" si="33"/>
        <v>12.126527255639097</v>
      </c>
    </row>
    <row r="1060" spans="1:10" x14ac:dyDescent="0.3">
      <c r="A1060" s="1">
        <v>45329</v>
      </c>
      <c r="B1060">
        <v>810.69</v>
      </c>
      <c r="C1060">
        <v>481.22</v>
      </c>
      <c r="D1060">
        <v>10</v>
      </c>
      <c r="E1060" s="2" t="s">
        <v>16</v>
      </c>
      <c r="F1060" s="2" t="s">
        <v>17</v>
      </c>
      <c r="G1060" s="2" t="s">
        <v>14</v>
      </c>
      <c r="H1060" s="2" t="s">
        <v>11</v>
      </c>
      <c r="I1060" s="2">
        <f t="shared" si="32"/>
        <v>329.47</v>
      </c>
      <c r="J1060" s="2">
        <f t="shared" si="33"/>
        <v>0.68465566684676449</v>
      </c>
    </row>
    <row r="1061" spans="1:10" x14ac:dyDescent="0.3">
      <c r="A1061" s="1">
        <v>45367</v>
      </c>
      <c r="B1061">
        <v>268.57</v>
      </c>
      <c r="C1061">
        <v>420.02</v>
      </c>
      <c r="D1061">
        <v>10</v>
      </c>
      <c r="E1061" s="2" t="s">
        <v>13</v>
      </c>
      <c r="F1061" s="2" t="s">
        <v>9</v>
      </c>
      <c r="G1061" s="2" t="s">
        <v>14</v>
      </c>
      <c r="H1061" s="2" t="s">
        <v>11</v>
      </c>
      <c r="I1061" s="2">
        <f t="shared" si="32"/>
        <v>-151.44999999999999</v>
      </c>
      <c r="J1061" s="2">
        <f t="shared" si="33"/>
        <v>-0.36057806771106138</v>
      </c>
    </row>
    <row r="1062" spans="1:10" x14ac:dyDescent="0.3">
      <c r="A1062" s="1">
        <v>45352</v>
      </c>
      <c r="B1062">
        <v>982.3</v>
      </c>
      <c r="C1062">
        <v>14.61</v>
      </c>
      <c r="D1062">
        <v>5</v>
      </c>
      <c r="E1062" s="2" t="s">
        <v>16</v>
      </c>
      <c r="F1062" s="2" t="s">
        <v>17</v>
      </c>
      <c r="G1062" s="2" t="s">
        <v>14</v>
      </c>
      <c r="H1062" s="2" t="s">
        <v>15</v>
      </c>
      <c r="I1062" s="2">
        <f t="shared" si="32"/>
        <v>967.68999999999994</v>
      </c>
      <c r="J1062" s="2">
        <f t="shared" si="33"/>
        <v>66.234770704996578</v>
      </c>
    </row>
    <row r="1063" spans="1:10" x14ac:dyDescent="0.3">
      <c r="A1063" s="1">
        <v>45292</v>
      </c>
      <c r="B1063">
        <v>509.86</v>
      </c>
      <c r="C1063">
        <v>260.17</v>
      </c>
      <c r="D1063">
        <v>6</v>
      </c>
      <c r="E1063" s="2" t="s">
        <v>8</v>
      </c>
      <c r="F1063" s="2" t="s">
        <v>17</v>
      </c>
      <c r="G1063" s="2" t="s">
        <v>12</v>
      </c>
      <c r="H1063" s="2" t="s">
        <v>20</v>
      </c>
      <c r="I1063" s="2">
        <f t="shared" si="32"/>
        <v>249.69</v>
      </c>
      <c r="J1063" s="2">
        <f t="shared" si="33"/>
        <v>0.95971864550101849</v>
      </c>
    </row>
    <row r="1064" spans="1:10" x14ac:dyDescent="0.3">
      <c r="A1064" s="1">
        <v>45335</v>
      </c>
      <c r="B1064">
        <v>1487.77</v>
      </c>
      <c r="C1064">
        <v>410.08</v>
      </c>
      <c r="D1064">
        <v>4</v>
      </c>
      <c r="E1064" s="2" t="s">
        <v>16</v>
      </c>
      <c r="F1064" s="2" t="s">
        <v>17</v>
      </c>
      <c r="G1064" s="2" t="s">
        <v>19</v>
      </c>
      <c r="H1064" s="2" t="s">
        <v>15</v>
      </c>
      <c r="I1064" s="2">
        <f t="shared" si="32"/>
        <v>1077.69</v>
      </c>
      <c r="J1064" s="2">
        <f t="shared" si="33"/>
        <v>2.6279994147483419</v>
      </c>
    </row>
    <row r="1065" spans="1:10" x14ac:dyDescent="0.3">
      <c r="A1065" s="1">
        <v>45344</v>
      </c>
      <c r="B1065">
        <v>969.56</v>
      </c>
      <c r="C1065">
        <v>115.98</v>
      </c>
      <c r="D1065">
        <v>8</v>
      </c>
      <c r="E1065" s="2" t="s">
        <v>8</v>
      </c>
      <c r="F1065" s="2" t="s">
        <v>17</v>
      </c>
      <c r="G1065" s="2" t="s">
        <v>14</v>
      </c>
      <c r="H1065" s="2" t="s">
        <v>20</v>
      </c>
      <c r="I1065" s="2">
        <f t="shared" si="32"/>
        <v>853.57999999999993</v>
      </c>
      <c r="J1065" s="2">
        <f t="shared" si="33"/>
        <v>7.3597171926194163</v>
      </c>
    </row>
    <row r="1066" spans="1:10" x14ac:dyDescent="0.3">
      <c r="A1066" s="1">
        <v>45305</v>
      </c>
      <c r="B1066">
        <v>107.52</v>
      </c>
      <c r="C1066">
        <v>262.87</v>
      </c>
      <c r="D1066">
        <v>0</v>
      </c>
      <c r="E1066" s="2" t="s">
        <v>16</v>
      </c>
      <c r="F1066" s="2" t="s">
        <v>9</v>
      </c>
      <c r="G1066" s="2" t="s">
        <v>10</v>
      </c>
      <c r="H1066" s="2" t="s">
        <v>20</v>
      </c>
      <c r="I1066" s="2">
        <f t="shared" si="32"/>
        <v>-155.35000000000002</v>
      </c>
      <c r="J1066" s="2">
        <f t="shared" si="33"/>
        <v>-0.59097652832198433</v>
      </c>
    </row>
    <row r="1067" spans="1:10" x14ac:dyDescent="0.3">
      <c r="A1067" s="1">
        <v>45328</v>
      </c>
      <c r="B1067">
        <v>647.5</v>
      </c>
      <c r="C1067">
        <v>131.1</v>
      </c>
      <c r="D1067">
        <v>0</v>
      </c>
      <c r="E1067" s="2" t="s">
        <v>8</v>
      </c>
      <c r="F1067" s="2" t="s">
        <v>17</v>
      </c>
      <c r="G1067" s="2" t="s">
        <v>14</v>
      </c>
      <c r="H1067" s="2" t="s">
        <v>15</v>
      </c>
      <c r="I1067" s="2">
        <f t="shared" si="32"/>
        <v>516.4</v>
      </c>
      <c r="J1067" s="2">
        <f t="shared" si="33"/>
        <v>3.9389778794813122</v>
      </c>
    </row>
    <row r="1068" spans="1:10" x14ac:dyDescent="0.3">
      <c r="A1068" s="1">
        <v>45305</v>
      </c>
      <c r="B1068">
        <v>398.5</v>
      </c>
      <c r="C1068">
        <v>281.45</v>
      </c>
      <c r="D1068">
        <v>4</v>
      </c>
      <c r="E1068" s="2" t="s">
        <v>13</v>
      </c>
      <c r="F1068" s="2" t="s">
        <v>17</v>
      </c>
      <c r="G1068" s="2" t="s">
        <v>14</v>
      </c>
      <c r="H1068" s="2" t="s">
        <v>15</v>
      </c>
      <c r="I1068" s="2">
        <f t="shared" si="32"/>
        <v>117.05000000000001</v>
      </c>
      <c r="J1068" s="2">
        <f t="shared" si="33"/>
        <v>0.41588203943862151</v>
      </c>
    </row>
    <row r="1069" spans="1:10" x14ac:dyDescent="0.3">
      <c r="A1069" s="1">
        <v>45332</v>
      </c>
      <c r="B1069">
        <v>1373.3</v>
      </c>
      <c r="C1069">
        <v>438.85</v>
      </c>
      <c r="D1069">
        <v>1</v>
      </c>
      <c r="E1069" s="2" t="s">
        <v>8</v>
      </c>
      <c r="F1069" s="2" t="s">
        <v>9</v>
      </c>
      <c r="G1069" s="2" t="s">
        <v>10</v>
      </c>
      <c r="H1069" s="2" t="s">
        <v>11</v>
      </c>
      <c r="I1069" s="2">
        <f t="shared" si="32"/>
        <v>934.44999999999993</v>
      </c>
      <c r="J1069" s="2">
        <f t="shared" si="33"/>
        <v>2.1293152557821577</v>
      </c>
    </row>
    <row r="1070" spans="1:10" x14ac:dyDescent="0.3">
      <c r="A1070" s="1">
        <v>45360</v>
      </c>
      <c r="B1070">
        <v>344.2</v>
      </c>
      <c r="C1070">
        <v>268.52999999999997</v>
      </c>
      <c r="D1070">
        <v>3</v>
      </c>
      <c r="E1070" s="2" t="s">
        <v>16</v>
      </c>
      <c r="F1070" s="2" t="s">
        <v>9</v>
      </c>
      <c r="G1070" s="2" t="s">
        <v>10</v>
      </c>
      <c r="H1070" s="2" t="s">
        <v>11</v>
      </c>
      <c r="I1070" s="2">
        <f t="shared" si="32"/>
        <v>75.670000000000016</v>
      </c>
      <c r="J1070" s="2">
        <f t="shared" si="33"/>
        <v>0.2817934681413623</v>
      </c>
    </row>
    <row r="1071" spans="1:10" x14ac:dyDescent="0.3">
      <c r="A1071" s="1">
        <v>45368</v>
      </c>
      <c r="B1071">
        <v>1199.23</v>
      </c>
      <c r="C1071">
        <v>342.23</v>
      </c>
      <c r="D1071">
        <v>4</v>
      </c>
      <c r="E1071" s="2" t="s">
        <v>16</v>
      </c>
      <c r="F1071" s="2" t="s">
        <v>17</v>
      </c>
      <c r="G1071" s="2" t="s">
        <v>10</v>
      </c>
      <c r="H1071" s="2" t="s">
        <v>11</v>
      </c>
      <c r="I1071" s="2">
        <f t="shared" si="32"/>
        <v>857</v>
      </c>
      <c r="J1071" s="2">
        <f t="shared" si="33"/>
        <v>2.5041638664056336</v>
      </c>
    </row>
    <row r="1072" spans="1:10" x14ac:dyDescent="0.3">
      <c r="A1072" s="1">
        <v>45394</v>
      </c>
      <c r="B1072">
        <v>1104.8599999999999</v>
      </c>
      <c r="C1072">
        <v>217.78</v>
      </c>
      <c r="D1072">
        <v>0</v>
      </c>
      <c r="E1072" s="2" t="s">
        <v>13</v>
      </c>
      <c r="F1072" s="2" t="s">
        <v>17</v>
      </c>
      <c r="G1072" s="2" t="s">
        <v>10</v>
      </c>
      <c r="H1072" s="2" t="s">
        <v>20</v>
      </c>
      <c r="I1072" s="2">
        <f t="shared" si="32"/>
        <v>887.07999999999993</v>
      </c>
      <c r="J1072" s="2">
        <f t="shared" si="33"/>
        <v>4.0732849664799335</v>
      </c>
    </row>
    <row r="1073" spans="1:10" x14ac:dyDescent="0.3">
      <c r="A1073" s="1">
        <v>45319</v>
      </c>
      <c r="B1073">
        <v>1150.3399999999999</v>
      </c>
      <c r="C1073">
        <v>367.76</v>
      </c>
      <c r="D1073">
        <v>0</v>
      </c>
      <c r="E1073" s="2" t="s">
        <v>8</v>
      </c>
      <c r="F1073" s="2" t="s">
        <v>17</v>
      </c>
      <c r="G1073" s="2" t="s">
        <v>19</v>
      </c>
      <c r="H1073" s="2" t="s">
        <v>20</v>
      </c>
      <c r="I1073" s="2">
        <f t="shared" si="32"/>
        <v>782.57999999999993</v>
      </c>
      <c r="J1073" s="2">
        <f t="shared" si="33"/>
        <v>2.1279638894931474</v>
      </c>
    </row>
    <row r="1074" spans="1:10" x14ac:dyDescent="0.3">
      <c r="A1074" s="1">
        <v>45306</v>
      </c>
      <c r="B1074">
        <v>1247</v>
      </c>
      <c r="C1074">
        <v>167.33</v>
      </c>
      <c r="D1074">
        <v>8</v>
      </c>
      <c r="E1074" s="2" t="s">
        <v>13</v>
      </c>
      <c r="F1074" s="2" t="s">
        <v>9</v>
      </c>
      <c r="G1074" s="2" t="s">
        <v>12</v>
      </c>
      <c r="H1074" s="2" t="s">
        <v>11</v>
      </c>
      <c r="I1074" s="2">
        <f t="shared" si="32"/>
        <v>1079.67</v>
      </c>
      <c r="J1074" s="2">
        <f t="shared" si="33"/>
        <v>6.4523396880415946</v>
      </c>
    </row>
    <row r="1075" spans="1:10" x14ac:dyDescent="0.3">
      <c r="A1075" s="1">
        <v>45385</v>
      </c>
      <c r="B1075">
        <v>342.57</v>
      </c>
      <c r="C1075">
        <v>291.27</v>
      </c>
      <c r="D1075">
        <v>7</v>
      </c>
      <c r="E1075" s="2" t="s">
        <v>13</v>
      </c>
      <c r="F1075" s="2" t="s">
        <v>9</v>
      </c>
      <c r="G1075" s="2" t="s">
        <v>12</v>
      </c>
      <c r="H1075" s="2" t="s">
        <v>11</v>
      </c>
      <c r="I1075" s="2">
        <f t="shared" si="32"/>
        <v>51.300000000000011</v>
      </c>
      <c r="J1075" s="2">
        <f t="shared" si="33"/>
        <v>0.17612524461839535</v>
      </c>
    </row>
    <row r="1076" spans="1:10" x14ac:dyDescent="0.3">
      <c r="A1076" s="1">
        <v>45380</v>
      </c>
      <c r="B1076">
        <v>356.41</v>
      </c>
      <c r="C1076">
        <v>158.08000000000001</v>
      </c>
      <c r="D1076">
        <v>4</v>
      </c>
      <c r="E1076" s="2" t="s">
        <v>16</v>
      </c>
      <c r="F1076" s="2" t="s">
        <v>17</v>
      </c>
      <c r="G1076" s="2" t="s">
        <v>10</v>
      </c>
      <c r="H1076" s="2" t="s">
        <v>15</v>
      </c>
      <c r="I1076" s="2">
        <f t="shared" si="32"/>
        <v>198.33</v>
      </c>
      <c r="J1076" s="2">
        <f t="shared" si="33"/>
        <v>1.2546179149797572</v>
      </c>
    </row>
    <row r="1077" spans="1:10" x14ac:dyDescent="0.3">
      <c r="A1077" s="1">
        <v>45366</v>
      </c>
      <c r="B1077">
        <v>557.48</v>
      </c>
      <c r="C1077">
        <v>290.63</v>
      </c>
      <c r="D1077">
        <v>6</v>
      </c>
      <c r="E1077" s="2" t="s">
        <v>16</v>
      </c>
      <c r="F1077" s="2" t="s">
        <v>17</v>
      </c>
      <c r="G1077" s="2" t="s">
        <v>10</v>
      </c>
      <c r="H1077" s="2" t="s">
        <v>15</v>
      </c>
      <c r="I1077" s="2">
        <f t="shared" si="32"/>
        <v>266.85000000000002</v>
      </c>
      <c r="J1077" s="2">
        <f t="shared" si="33"/>
        <v>0.91817775178061467</v>
      </c>
    </row>
    <row r="1078" spans="1:10" x14ac:dyDescent="0.3">
      <c r="A1078" s="1">
        <v>45336</v>
      </c>
      <c r="B1078">
        <v>116.74</v>
      </c>
      <c r="C1078">
        <v>203.5</v>
      </c>
      <c r="D1078">
        <v>10</v>
      </c>
      <c r="E1078" s="2" t="s">
        <v>8</v>
      </c>
      <c r="F1078" s="2" t="s">
        <v>17</v>
      </c>
      <c r="G1078" s="2" t="s">
        <v>19</v>
      </c>
      <c r="H1078" s="2" t="s">
        <v>15</v>
      </c>
      <c r="I1078" s="2">
        <f t="shared" si="32"/>
        <v>-86.76</v>
      </c>
      <c r="J1078" s="2">
        <f t="shared" si="33"/>
        <v>-0.42633906633906637</v>
      </c>
    </row>
    <row r="1079" spans="1:10" x14ac:dyDescent="0.3">
      <c r="A1079" s="1">
        <v>45327</v>
      </c>
      <c r="B1079">
        <v>1055</v>
      </c>
      <c r="C1079">
        <v>372.36</v>
      </c>
      <c r="D1079">
        <v>1</v>
      </c>
      <c r="E1079" s="2" t="s">
        <v>8</v>
      </c>
      <c r="F1079" s="2" t="s">
        <v>17</v>
      </c>
      <c r="G1079" s="2" t="s">
        <v>14</v>
      </c>
      <c r="H1079" s="2" t="s">
        <v>15</v>
      </c>
      <c r="I1079" s="2">
        <f t="shared" si="32"/>
        <v>682.64</v>
      </c>
      <c r="J1079" s="2">
        <f t="shared" si="33"/>
        <v>1.8332796218713072</v>
      </c>
    </row>
    <row r="1080" spans="1:10" x14ac:dyDescent="0.3">
      <c r="A1080" s="1">
        <v>45329</v>
      </c>
      <c r="B1080">
        <v>1459.05</v>
      </c>
      <c r="C1080">
        <v>208.74</v>
      </c>
      <c r="D1080">
        <v>10</v>
      </c>
      <c r="E1080" s="2" t="s">
        <v>8</v>
      </c>
      <c r="F1080" s="2" t="s">
        <v>9</v>
      </c>
      <c r="G1080" s="2" t="s">
        <v>10</v>
      </c>
      <c r="H1080" s="2" t="s">
        <v>11</v>
      </c>
      <c r="I1080" s="2">
        <f t="shared" si="32"/>
        <v>1250.31</v>
      </c>
      <c r="J1080" s="2">
        <f t="shared" si="33"/>
        <v>5.9897959183673466</v>
      </c>
    </row>
    <row r="1081" spans="1:10" x14ac:dyDescent="0.3">
      <c r="A1081" s="1">
        <v>45309</v>
      </c>
      <c r="B1081">
        <v>1338.62</v>
      </c>
      <c r="C1081">
        <v>481.87</v>
      </c>
      <c r="D1081">
        <v>4</v>
      </c>
      <c r="E1081" s="2" t="s">
        <v>8</v>
      </c>
      <c r="F1081" s="2" t="s">
        <v>9</v>
      </c>
      <c r="G1081" s="2" t="s">
        <v>12</v>
      </c>
      <c r="H1081" s="2" t="s">
        <v>20</v>
      </c>
      <c r="I1081" s="2">
        <f t="shared" si="32"/>
        <v>856.74999999999989</v>
      </c>
      <c r="J1081" s="2">
        <f t="shared" si="33"/>
        <v>1.7779691618071261</v>
      </c>
    </row>
    <row r="1082" spans="1:10" x14ac:dyDescent="0.3">
      <c r="A1082" s="1">
        <v>45369</v>
      </c>
      <c r="B1082">
        <v>1064.45</v>
      </c>
      <c r="C1082">
        <v>483.22</v>
      </c>
      <c r="D1082">
        <v>6</v>
      </c>
      <c r="E1082" s="2" t="s">
        <v>8</v>
      </c>
      <c r="F1082" s="2" t="s">
        <v>9</v>
      </c>
      <c r="G1082" s="2" t="s">
        <v>19</v>
      </c>
      <c r="H1082" s="2" t="s">
        <v>15</v>
      </c>
      <c r="I1082" s="2">
        <f t="shared" si="32"/>
        <v>581.23</v>
      </c>
      <c r="J1082" s="2">
        <f t="shared" si="33"/>
        <v>1.2028268697487687</v>
      </c>
    </row>
    <row r="1083" spans="1:10" x14ac:dyDescent="0.3">
      <c r="A1083" s="1">
        <v>45312</v>
      </c>
      <c r="B1083">
        <v>402.25</v>
      </c>
      <c r="C1083">
        <v>322.39</v>
      </c>
      <c r="D1083">
        <v>1</v>
      </c>
      <c r="E1083" s="2" t="s">
        <v>13</v>
      </c>
      <c r="F1083" s="2" t="s">
        <v>17</v>
      </c>
      <c r="G1083" s="2" t="s">
        <v>12</v>
      </c>
      <c r="H1083" s="2" t="s">
        <v>20</v>
      </c>
      <c r="I1083" s="2">
        <f t="shared" si="32"/>
        <v>79.860000000000014</v>
      </c>
      <c r="J1083" s="2">
        <f t="shared" si="33"/>
        <v>0.24771239802723416</v>
      </c>
    </row>
    <row r="1084" spans="1:10" x14ac:dyDescent="0.3">
      <c r="A1084" s="1">
        <v>45339</v>
      </c>
      <c r="B1084">
        <v>1405.96</v>
      </c>
      <c r="C1084">
        <v>110.86</v>
      </c>
      <c r="D1084">
        <v>8</v>
      </c>
      <c r="E1084" s="2" t="s">
        <v>13</v>
      </c>
      <c r="F1084" s="2" t="s">
        <v>17</v>
      </c>
      <c r="G1084" s="2" t="s">
        <v>10</v>
      </c>
      <c r="H1084" s="2" t="s">
        <v>15</v>
      </c>
      <c r="I1084" s="2">
        <f t="shared" si="32"/>
        <v>1295.1000000000001</v>
      </c>
      <c r="J1084" s="2">
        <f t="shared" si="33"/>
        <v>11.682302002525709</v>
      </c>
    </row>
    <row r="1085" spans="1:10" x14ac:dyDescent="0.3">
      <c r="A1085" s="1">
        <v>45306</v>
      </c>
      <c r="B1085">
        <v>866.18</v>
      </c>
      <c r="C1085">
        <v>453.58</v>
      </c>
      <c r="D1085">
        <v>10</v>
      </c>
      <c r="E1085" s="2" t="s">
        <v>16</v>
      </c>
      <c r="F1085" s="2" t="s">
        <v>17</v>
      </c>
      <c r="G1085" s="2" t="s">
        <v>10</v>
      </c>
      <c r="H1085" s="2" t="s">
        <v>20</v>
      </c>
      <c r="I1085" s="2">
        <f t="shared" si="32"/>
        <v>412.59999999999997</v>
      </c>
      <c r="J1085" s="2">
        <f t="shared" si="33"/>
        <v>0.90965210106265704</v>
      </c>
    </row>
    <row r="1086" spans="1:10" x14ac:dyDescent="0.3">
      <c r="A1086" s="1">
        <v>45408</v>
      </c>
      <c r="B1086">
        <v>1480.16</v>
      </c>
      <c r="C1086">
        <v>128.21</v>
      </c>
      <c r="D1086">
        <v>0</v>
      </c>
      <c r="E1086" s="2" t="s">
        <v>8</v>
      </c>
      <c r="F1086" s="2" t="s">
        <v>9</v>
      </c>
      <c r="G1086" s="2" t="s">
        <v>14</v>
      </c>
      <c r="H1086" s="2" t="s">
        <v>20</v>
      </c>
      <c r="I1086" s="2">
        <f t="shared" si="32"/>
        <v>1351.95</v>
      </c>
      <c r="J1086" s="2">
        <f t="shared" si="33"/>
        <v>10.544809297246704</v>
      </c>
    </row>
    <row r="1087" spans="1:10" x14ac:dyDescent="0.3">
      <c r="A1087" s="1">
        <v>45372</v>
      </c>
      <c r="B1087">
        <v>998.09</v>
      </c>
      <c r="C1087">
        <v>213.45</v>
      </c>
      <c r="D1087">
        <v>1</v>
      </c>
      <c r="E1087" s="2" t="s">
        <v>13</v>
      </c>
      <c r="F1087" s="2" t="s">
        <v>9</v>
      </c>
      <c r="G1087" s="2" t="s">
        <v>10</v>
      </c>
      <c r="H1087" s="2" t="s">
        <v>20</v>
      </c>
      <c r="I1087" s="2">
        <f t="shared" si="32"/>
        <v>784.6400000000001</v>
      </c>
      <c r="J1087" s="2">
        <f t="shared" si="33"/>
        <v>3.6759896931365668</v>
      </c>
    </row>
    <row r="1088" spans="1:10" x14ac:dyDescent="0.3">
      <c r="A1088" s="1">
        <v>45397</v>
      </c>
      <c r="B1088">
        <v>639.26</v>
      </c>
      <c r="C1088">
        <v>173.8</v>
      </c>
      <c r="D1088">
        <v>8</v>
      </c>
      <c r="E1088" s="2" t="s">
        <v>8</v>
      </c>
      <c r="F1088" s="2" t="s">
        <v>17</v>
      </c>
      <c r="G1088" s="2" t="s">
        <v>10</v>
      </c>
      <c r="H1088" s="2" t="s">
        <v>20</v>
      </c>
      <c r="I1088" s="2">
        <f t="shared" si="32"/>
        <v>465.46</v>
      </c>
      <c r="J1088" s="2">
        <f t="shared" si="33"/>
        <v>2.6781357882623702</v>
      </c>
    </row>
    <row r="1089" spans="1:10" x14ac:dyDescent="0.3">
      <c r="A1089" s="1">
        <v>45309</v>
      </c>
      <c r="B1089">
        <v>438.31</v>
      </c>
      <c r="C1089">
        <v>279.25</v>
      </c>
      <c r="D1089">
        <v>6</v>
      </c>
      <c r="E1089" s="2" t="s">
        <v>16</v>
      </c>
      <c r="F1089" s="2" t="s">
        <v>17</v>
      </c>
      <c r="G1089" s="2" t="s">
        <v>12</v>
      </c>
      <c r="H1089" s="2" t="s">
        <v>20</v>
      </c>
      <c r="I1089" s="2">
        <f t="shared" si="32"/>
        <v>159.06</v>
      </c>
      <c r="J1089" s="2">
        <f t="shared" si="33"/>
        <v>0.56959713518352728</v>
      </c>
    </row>
    <row r="1090" spans="1:10" x14ac:dyDescent="0.3">
      <c r="A1090" s="1">
        <v>45393</v>
      </c>
      <c r="B1090">
        <v>717.58</v>
      </c>
      <c r="C1090">
        <v>116.24</v>
      </c>
      <c r="D1090">
        <v>10</v>
      </c>
      <c r="E1090" s="2" t="s">
        <v>13</v>
      </c>
      <c r="F1090" s="2" t="s">
        <v>9</v>
      </c>
      <c r="G1090" s="2" t="s">
        <v>14</v>
      </c>
      <c r="H1090" s="2" t="s">
        <v>15</v>
      </c>
      <c r="I1090" s="2">
        <f t="shared" ref="I1090:I1153" si="34">B1090-C1090</f>
        <v>601.34</v>
      </c>
      <c r="J1090" s="2">
        <f t="shared" ref="J1090:J1153" si="35">IF(C1090=0,0,I1090/C1090)</f>
        <v>5.1732622161046118</v>
      </c>
    </row>
    <row r="1091" spans="1:10" x14ac:dyDescent="0.3">
      <c r="A1091" s="1">
        <v>45307</v>
      </c>
      <c r="B1091">
        <v>1466.27</v>
      </c>
      <c r="C1091">
        <v>104.72</v>
      </c>
      <c r="D1091">
        <v>7</v>
      </c>
      <c r="E1091" s="2" t="s">
        <v>16</v>
      </c>
      <c r="F1091" s="2" t="s">
        <v>17</v>
      </c>
      <c r="G1091" s="2" t="s">
        <v>12</v>
      </c>
      <c r="H1091" s="2" t="s">
        <v>20</v>
      </c>
      <c r="I1091" s="2">
        <f t="shared" si="34"/>
        <v>1361.55</v>
      </c>
      <c r="J1091" s="2">
        <f t="shared" si="35"/>
        <v>13.00181436210848</v>
      </c>
    </row>
    <row r="1092" spans="1:10" x14ac:dyDescent="0.3">
      <c r="A1092" s="1">
        <v>45329</v>
      </c>
      <c r="B1092">
        <v>327.76</v>
      </c>
      <c r="C1092">
        <v>251.3</v>
      </c>
      <c r="D1092">
        <v>4</v>
      </c>
      <c r="E1092" s="2" t="s">
        <v>16</v>
      </c>
      <c r="F1092" s="2" t="s">
        <v>9</v>
      </c>
      <c r="G1092" s="2" t="s">
        <v>10</v>
      </c>
      <c r="H1092" s="2" t="s">
        <v>15</v>
      </c>
      <c r="I1092" s="2">
        <f t="shared" si="34"/>
        <v>76.45999999999998</v>
      </c>
      <c r="J1092" s="2">
        <f t="shared" si="35"/>
        <v>0.30425785913251086</v>
      </c>
    </row>
    <row r="1093" spans="1:10" x14ac:dyDescent="0.3">
      <c r="A1093" s="1">
        <v>45369</v>
      </c>
      <c r="B1093">
        <v>363.44</v>
      </c>
      <c r="C1093">
        <v>69.819999999999993</v>
      </c>
      <c r="D1093">
        <v>6</v>
      </c>
      <c r="E1093" s="2" t="s">
        <v>16</v>
      </c>
      <c r="F1093" s="2" t="s">
        <v>17</v>
      </c>
      <c r="G1093" s="2" t="s">
        <v>12</v>
      </c>
      <c r="H1093" s="2" t="s">
        <v>15</v>
      </c>
      <c r="I1093" s="2">
        <f t="shared" si="34"/>
        <v>293.62</v>
      </c>
      <c r="J1093" s="2">
        <f t="shared" si="35"/>
        <v>4.2053852764250932</v>
      </c>
    </row>
    <row r="1094" spans="1:10" x14ac:dyDescent="0.3">
      <c r="A1094" s="1">
        <v>45349</v>
      </c>
      <c r="B1094">
        <v>1426.31</v>
      </c>
      <c r="C1094">
        <v>281.68</v>
      </c>
      <c r="D1094">
        <v>5</v>
      </c>
      <c r="E1094" s="2" t="s">
        <v>8</v>
      </c>
      <c r="F1094" s="2" t="s">
        <v>17</v>
      </c>
      <c r="G1094" s="2" t="s">
        <v>10</v>
      </c>
      <c r="H1094" s="2" t="s">
        <v>15</v>
      </c>
      <c r="I1094" s="2">
        <f t="shared" si="34"/>
        <v>1144.6299999999999</v>
      </c>
      <c r="J1094" s="2">
        <f t="shared" si="35"/>
        <v>4.063582788980403</v>
      </c>
    </row>
    <row r="1095" spans="1:10" x14ac:dyDescent="0.3">
      <c r="A1095" s="1">
        <v>45378</v>
      </c>
      <c r="B1095">
        <v>783.61</v>
      </c>
      <c r="C1095">
        <v>190.12</v>
      </c>
      <c r="D1095">
        <v>6</v>
      </c>
      <c r="E1095" s="2" t="s">
        <v>16</v>
      </c>
      <c r="F1095" s="2" t="s">
        <v>9</v>
      </c>
      <c r="G1095" s="2" t="s">
        <v>14</v>
      </c>
      <c r="H1095" s="2" t="s">
        <v>15</v>
      </c>
      <c r="I1095" s="2">
        <f t="shared" si="34"/>
        <v>593.49</v>
      </c>
      <c r="J1095" s="2">
        <f t="shared" si="35"/>
        <v>3.1216600042078686</v>
      </c>
    </row>
    <row r="1096" spans="1:10" x14ac:dyDescent="0.3">
      <c r="A1096" s="1">
        <v>45322</v>
      </c>
      <c r="B1096">
        <v>1439.54</v>
      </c>
      <c r="C1096">
        <v>450.74</v>
      </c>
      <c r="D1096">
        <v>8</v>
      </c>
      <c r="E1096" s="2" t="s">
        <v>16</v>
      </c>
      <c r="F1096" s="2" t="s">
        <v>9</v>
      </c>
      <c r="G1096" s="2" t="s">
        <v>19</v>
      </c>
      <c r="H1096" s="2" t="s">
        <v>11</v>
      </c>
      <c r="I1096" s="2">
        <f t="shared" si="34"/>
        <v>988.8</v>
      </c>
      <c r="J1096" s="2">
        <f t="shared" si="35"/>
        <v>2.1937258730088298</v>
      </c>
    </row>
    <row r="1097" spans="1:10" x14ac:dyDescent="0.3">
      <c r="A1097" s="1">
        <v>45381</v>
      </c>
      <c r="B1097">
        <v>1370.18</v>
      </c>
      <c r="C1097">
        <v>213.89</v>
      </c>
      <c r="D1097">
        <v>4</v>
      </c>
      <c r="E1097" s="2" t="s">
        <v>13</v>
      </c>
      <c r="F1097" s="2" t="s">
        <v>17</v>
      </c>
      <c r="G1097" s="2" t="s">
        <v>12</v>
      </c>
      <c r="H1097" s="2" t="s">
        <v>15</v>
      </c>
      <c r="I1097" s="2">
        <f t="shared" si="34"/>
        <v>1156.29</v>
      </c>
      <c r="J1097" s="2">
        <f t="shared" si="35"/>
        <v>5.4060030856982566</v>
      </c>
    </row>
    <row r="1098" spans="1:10" x14ac:dyDescent="0.3">
      <c r="A1098" s="1">
        <v>45398</v>
      </c>
      <c r="B1098">
        <v>593.05999999999995</v>
      </c>
      <c r="C1098">
        <v>228.92</v>
      </c>
      <c r="D1098">
        <v>6</v>
      </c>
      <c r="E1098" s="2" t="s">
        <v>16</v>
      </c>
      <c r="F1098" s="2" t="s">
        <v>9</v>
      </c>
      <c r="G1098" s="2" t="s">
        <v>12</v>
      </c>
      <c r="H1098" s="2" t="s">
        <v>18</v>
      </c>
      <c r="I1098" s="2">
        <f t="shared" si="34"/>
        <v>364.14</v>
      </c>
      <c r="J1098" s="2">
        <f t="shared" si="35"/>
        <v>1.5906867027782632</v>
      </c>
    </row>
    <row r="1099" spans="1:10" x14ac:dyDescent="0.3">
      <c r="A1099" s="1">
        <v>45372</v>
      </c>
      <c r="B1099">
        <v>1347.7</v>
      </c>
      <c r="C1099">
        <v>267.89</v>
      </c>
      <c r="D1099">
        <v>8</v>
      </c>
      <c r="E1099" s="2" t="s">
        <v>8</v>
      </c>
      <c r="F1099" s="2" t="s">
        <v>9</v>
      </c>
      <c r="G1099" s="2" t="s">
        <v>19</v>
      </c>
      <c r="H1099" s="2" t="s">
        <v>18</v>
      </c>
      <c r="I1099" s="2">
        <f t="shared" si="34"/>
        <v>1079.81</v>
      </c>
      <c r="J1099" s="2">
        <f t="shared" si="35"/>
        <v>4.0307962223300606</v>
      </c>
    </row>
    <row r="1100" spans="1:10" x14ac:dyDescent="0.3">
      <c r="A1100" s="1">
        <v>45386</v>
      </c>
      <c r="B1100">
        <v>1096.5999999999999</v>
      </c>
      <c r="C1100">
        <v>381.5</v>
      </c>
      <c r="D1100">
        <v>7</v>
      </c>
      <c r="E1100" s="2" t="s">
        <v>16</v>
      </c>
      <c r="F1100" s="2" t="s">
        <v>17</v>
      </c>
      <c r="G1100" s="2" t="s">
        <v>10</v>
      </c>
      <c r="H1100" s="2" t="s">
        <v>18</v>
      </c>
      <c r="I1100" s="2">
        <f t="shared" si="34"/>
        <v>715.09999999999991</v>
      </c>
      <c r="J1100" s="2">
        <f t="shared" si="35"/>
        <v>1.8744429882044558</v>
      </c>
    </row>
    <row r="1101" spans="1:10" x14ac:dyDescent="0.3">
      <c r="A1101" s="1">
        <v>45345</v>
      </c>
      <c r="B1101">
        <v>1306.1500000000001</v>
      </c>
      <c r="C1101">
        <v>14.48</v>
      </c>
      <c r="D1101">
        <v>6</v>
      </c>
      <c r="E1101" s="2" t="s">
        <v>8</v>
      </c>
      <c r="F1101" s="2" t="s">
        <v>9</v>
      </c>
      <c r="G1101" s="2" t="s">
        <v>12</v>
      </c>
      <c r="H1101" s="2" t="s">
        <v>11</v>
      </c>
      <c r="I1101" s="2">
        <f t="shared" si="34"/>
        <v>1291.67</v>
      </c>
      <c r="J1101" s="2">
        <f t="shared" si="35"/>
        <v>89.203729281767963</v>
      </c>
    </row>
    <row r="1102" spans="1:10" x14ac:dyDescent="0.3">
      <c r="A1102" s="1">
        <v>45364</v>
      </c>
      <c r="B1102">
        <v>1292.06</v>
      </c>
      <c r="C1102">
        <v>96.07</v>
      </c>
      <c r="D1102">
        <v>2</v>
      </c>
      <c r="E1102" s="2" t="s">
        <v>8</v>
      </c>
      <c r="F1102" s="2" t="s">
        <v>9</v>
      </c>
      <c r="G1102" s="2" t="s">
        <v>12</v>
      </c>
      <c r="H1102" s="2" t="s">
        <v>11</v>
      </c>
      <c r="I1102" s="2">
        <f t="shared" si="34"/>
        <v>1195.99</v>
      </c>
      <c r="J1102" s="2">
        <f t="shared" si="35"/>
        <v>12.449151660247736</v>
      </c>
    </row>
    <row r="1103" spans="1:10" x14ac:dyDescent="0.3">
      <c r="A1103" s="1">
        <v>45308</v>
      </c>
      <c r="B1103">
        <v>873.39</v>
      </c>
      <c r="C1103">
        <v>171.52</v>
      </c>
      <c r="D1103">
        <v>1</v>
      </c>
      <c r="E1103" s="2" t="s">
        <v>13</v>
      </c>
      <c r="F1103" s="2" t="s">
        <v>17</v>
      </c>
      <c r="G1103" s="2" t="s">
        <v>19</v>
      </c>
      <c r="H1103" s="2" t="s">
        <v>15</v>
      </c>
      <c r="I1103" s="2">
        <f t="shared" si="34"/>
        <v>701.87</v>
      </c>
      <c r="J1103" s="2">
        <f t="shared" si="35"/>
        <v>4.0920592350746263</v>
      </c>
    </row>
    <row r="1104" spans="1:10" x14ac:dyDescent="0.3">
      <c r="A1104" s="1">
        <v>45316</v>
      </c>
      <c r="B1104">
        <v>1073.8599999999999</v>
      </c>
      <c r="C1104">
        <v>383.02</v>
      </c>
      <c r="D1104">
        <v>10</v>
      </c>
      <c r="E1104" s="2" t="s">
        <v>16</v>
      </c>
      <c r="F1104" s="2" t="s">
        <v>17</v>
      </c>
      <c r="G1104" s="2" t="s">
        <v>19</v>
      </c>
      <c r="H1104" s="2" t="s">
        <v>20</v>
      </c>
      <c r="I1104" s="2">
        <f t="shared" si="34"/>
        <v>690.83999999999992</v>
      </c>
      <c r="J1104" s="2">
        <f t="shared" si="35"/>
        <v>1.8036656049292463</v>
      </c>
    </row>
    <row r="1105" spans="1:10" x14ac:dyDescent="0.3">
      <c r="A1105" s="1">
        <v>45312</v>
      </c>
      <c r="B1105">
        <v>267.26</v>
      </c>
      <c r="C1105">
        <v>314.05</v>
      </c>
      <c r="D1105">
        <v>2</v>
      </c>
      <c r="E1105" s="2" t="s">
        <v>16</v>
      </c>
      <c r="F1105" s="2" t="s">
        <v>17</v>
      </c>
      <c r="G1105" s="2" t="s">
        <v>12</v>
      </c>
      <c r="H1105" s="2" t="s">
        <v>11</v>
      </c>
      <c r="I1105" s="2">
        <f t="shared" si="34"/>
        <v>-46.79000000000002</v>
      </c>
      <c r="J1105" s="2">
        <f t="shared" si="35"/>
        <v>-0.14898901448813889</v>
      </c>
    </row>
    <row r="1106" spans="1:10" x14ac:dyDescent="0.3">
      <c r="A1106" s="1">
        <v>45314</v>
      </c>
      <c r="B1106">
        <v>107.19</v>
      </c>
      <c r="C1106">
        <v>354.56</v>
      </c>
      <c r="D1106">
        <v>3</v>
      </c>
      <c r="E1106" s="2" t="s">
        <v>13</v>
      </c>
      <c r="F1106" s="2" t="s">
        <v>17</v>
      </c>
      <c r="G1106" s="2" t="s">
        <v>10</v>
      </c>
      <c r="H1106" s="2" t="s">
        <v>20</v>
      </c>
      <c r="I1106" s="2">
        <f t="shared" si="34"/>
        <v>-247.37</v>
      </c>
      <c r="J1106" s="2">
        <f t="shared" si="35"/>
        <v>-0.69768163357400725</v>
      </c>
    </row>
    <row r="1107" spans="1:10" x14ac:dyDescent="0.3">
      <c r="A1107" s="1">
        <v>45385</v>
      </c>
      <c r="B1107">
        <v>862.22</v>
      </c>
      <c r="C1107">
        <v>221.13</v>
      </c>
      <c r="D1107">
        <v>2</v>
      </c>
      <c r="E1107" s="2" t="s">
        <v>13</v>
      </c>
      <c r="F1107" s="2" t="s">
        <v>17</v>
      </c>
      <c r="G1107" s="2" t="s">
        <v>14</v>
      </c>
      <c r="H1107" s="2" t="s">
        <v>18</v>
      </c>
      <c r="I1107" s="2">
        <f t="shared" si="34"/>
        <v>641.09</v>
      </c>
      <c r="J1107" s="2">
        <f t="shared" si="35"/>
        <v>2.8991543435987883</v>
      </c>
    </row>
    <row r="1108" spans="1:10" x14ac:dyDescent="0.3">
      <c r="A1108" s="1">
        <v>45360</v>
      </c>
      <c r="B1108">
        <v>436.62</v>
      </c>
      <c r="C1108">
        <v>100.36</v>
      </c>
      <c r="D1108">
        <v>8</v>
      </c>
      <c r="E1108" s="2" t="s">
        <v>8</v>
      </c>
      <c r="F1108" s="2" t="s">
        <v>17</v>
      </c>
      <c r="G1108" s="2" t="s">
        <v>10</v>
      </c>
      <c r="H1108" s="2" t="s">
        <v>20</v>
      </c>
      <c r="I1108" s="2">
        <f t="shared" si="34"/>
        <v>336.26</v>
      </c>
      <c r="J1108" s="2">
        <f t="shared" si="35"/>
        <v>3.3505380629732961</v>
      </c>
    </row>
    <row r="1109" spans="1:10" x14ac:dyDescent="0.3">
      <c r="A1109" s="1">
        <v>45365</v>
      </c>
      <c r="B1109">
        <v>1173.42</v>
      </c>
      <c r="C1109">
        <v>183.45</v>
      </c>
      <c r="D1109">
        <v>4</v>
      </c>
      <c r="E1109" s="2" t="s">
        <v>8</v>
      </c>
      <c r="F1109" s="2" t="s">
        <v>9</v>
      </c>
      <c r="G1109" s="2" t="s">
        <v>14</v>
      </c>
      <c r="H1109" s="2" t="s">
        <v>18</v>
      </c>
      <c r="I1109" s="2">
        <f t="shared" si="34"/>
        <v>989.97</v>
      </c>
      <c r="J1109" s="2">
        <f t="shared" si="35"/>
        <v>5.3964022894521673</v>
      </c>
    </row>
    <row r="1110" spans="1:10" x14ac:dyDescent="0.3">
      <c r="A1110" s="1">
        <v>45347</v>
      </c>
      <c r="B1110">
        <v>1193.28</v>
      </c>
      <c r="C1110">
        <v>410</v>
      </c>
      <c r="D1110">
        <v>1</v>
      </c>
      <c r="E1110" s="2" t="s">
        <v>8</v>
      </c>
      <c r="F1110" s="2" t="s">
        <v>9</v>
      </c>
      <c r="G1110" s="2" t="s">
        <v>12</v>
      </c>
      <c r="H1110" s="2" t="s">
        <v>15</v>
      </c>
      <c r="I1110" s="2">
        <f t="shared" si="34"/>
        <v>783.28</v>
      </c>
      <c r="J1110" s="2">
        <f t="shared" si="35"/>
        <v>1.9104390243902438</v>
      </c>
    </row>
    <row r="1111" spans="1:10" x14ac:dyDescent="0.3">
      <c r="A1111" s="1">
        <v>45405</v>
      </c>
      <c r="B1111">
        <v>1386.69</v>
      </c>
      <c r="C1111">
        <v>10.14</v>
      </c>
      <c r="D1111">
        <v>2</v>
      </c>
      <c r="E1111" s="2" t="s">
        <v>16</v>
      </c>
      <c r="F1111" s="2" t="s">
        <v>17</v>
      </c>
      <c r="G1111" s="2" t="s">
        <v>19</v>
      </c>
      <c r="H1111" s="2" t="s">
        <v>18</v>
      </c>
      <c r="I1111" s="2">
        <f t="shared" si="34"/>
        <v>1376.55</v>
      </c>
      <c r="J1111" s="2">
        <f t="shared" si="35"/>
        <v>135.75443786982248</v>
      </c>
    </row>
    <row r="1112" spans="1:10" x14ac:dyDescent="0.3">
      <c r="A1112" s="1">
        <v>45331</v>
      </c>
      <c r="B1112">
        <v>725.54</v>
      </c>
      <c r="C1112">
        <v>165.13</v>
      </c>
      <c r="D1112">
        <v>6</v>
      </c>
      <c r="E1112" s="2" t="s">
        <v>8</v>
      </c>
      <c r="F1112" s="2" t="s">
        <v>17</v>
      </c>
      <c r="G1112" s="2" t="s">
        <v>14</v>
      </c>
      <c r="H1112" s="2" t="s">
        <v>18</v>
      </c>
      <c r="I1112" s="2">
        <f t="shared" si="34"/>
        <v>560.41</v>
      </c>
      <c r="J1112" s="2">
        <f t="shared" si="35"/>
        <v>3.3937503784896745</v>
      </c>
    </row>
    <row r="1113" spans="1:10" x14ac:dyDescent="0.3">
      <c r="A1113" s="1">
        <v>45401</v>
      </c>
      <c r="B1113">
        <v>1104.0899999999999</v>
      </c>
      <c r="C1113">
        <v>364.31</v>
      </c>
      <c r="D1113">
        <v>4</v>
      </c>
      <c r="E1113" s="2" t="s">
        <v>13</v>
      </c>
      <c r="F1113" s="2" t="s">
        <v>17</v>
      </c>
      <c r="G1113" s="2" t="s">
        <v>12</v>
      </c>
      <c r="H1113" s="2" t="s">
        <v>20</v>
      </c>
      <c r="I1113" s="2">
        <f t="shared" si="34"/>
        <v>739.78</v>
      </c>
      <c r="J1113" s="2">
        <f t="shared" si="35"/>
        <v>2.0306332519008534</v>
      </c>
    </row>
    <row r="1114" spans="1:10" x14ac:dyDescent="0.3">
      <c r="A1114" s="1">
        <v>45387</v>
      </c>
      <c r="B1114">
        <v>404.07</v>
      </c>
      <c r="C1114">
        <v>414.49</v>
      </c>
      <c r="D1114">
        <v>7</v>
      </c>
      <c r="E1114" s="2" t="s">
        <v>16</v>
      </c>
      <c r="F1114" s="2" t="s">
        <v>17</v>
      </c>
      <c r="G1114" s="2" t="s">
        <v>19</v>
      </c>
      <c r="H1114" s="2" t="s">
        <v>20</v>
      </c>
      <c r="I1114" s="2">
        <f t="shared" si="34"/>
        <v>-10.420000000000016</v>
      </c>
      <c r="J1114" s="2">
        <f t="shared" si="35"/>
        <v>-2.5139327848681552E-2</v>
      </c>
    </row>
    <row r="1115" spans="1:10" x14ac:dyDescent="0.3">
      <c r="A1115" s="1">
        <v>45311</v>
      </c>
      <c r="B1115">
        <v>431.68</v>
      </c>
      <c r="C1115">
        <v>461.53</v>
      </c>
      <c r="D1115">
        <v>8</v>
      </c>
      <c r="E1115" s="2" t="s">
        <v>8</v>
      </c>
      <c r="F1115" s="2" t="s">
        <v>17</v>
      </c>
      <c r="G1115" s="2" t="s">
        <v>19</v>
      </c>
      <c r="H1115" s="2" t="s">
        <v>18</v>
      </c>
      <c r="I1115" s="2">
        <f t="shared" si="34"/>
        <v>-29.849999999999966</v>
      </c>
      <c r="J1115" s="2">
        <f t="shared" si="35"/>
        <v>-6.4676185730071653E-2</v>
      </c>
    </row>
    <row r="1116" spans="1:10" x14ac:dyDescent="0.3">
      <c r="A1116" s="1">
        <v>45410</v>
      </c>
      <c r="B1116">
        <v>852.54</v>
      </c>
      <c r="C1116">
        <v>85.16</v>
      </c>
      <c r="D1116">
        <v>10</v>
      </c>
      <c r="E1116" s="2" t="s">
        <v>13</v>
      </c>
      <c r="F1116" s="2" t="s">
        <v>17</v>
      </c>
      <c r="G1116" s="2" t="s">
        <v>12</v>
      </c>
      <c r="H1116" s="2" t="s">
        <v>11</v>
      </c>
      <c r="I1116" s="2">
        <f t="shared" si="34"/>
        <v>767.38</v>
      </c>
      <c r="J1116" s="2">
        <f t="shared" si="35"/>
        <v>9.0110380460310004</v>
      </c>
    </row>
    <row r="1117" spans="1:10" x14ac:dyDescent="0.3">
      <c r="A1117" s="1">
        <v>45397</v>
      </c>
      <c r="B1117">
        <v>877.51</v>
      </c>
      <c r="C1117">
        <v>499.63</v>
      </c>
      <c r="D1117">
        <v>8</v>
      </c>
      <c r="E1117" s="2" t="s">
        <v>8</v>
      </c>
      <c r="F1117" s="2" t="s">
        <v>17</v>
      </c>
      <c r="G1117" s="2" t="s">
        <v>14</v>
      </c>
      <c r="H1117" s="2" t="s">
        <v>11</v>
      </c>
      <c r="I1117" s="2">
        <f t="shared" si="34"/>
        <v>377.88</v>
      </c>
      <c r="J1117" s="2">
        <f t="shared" si="35"/>
        <v>0.75631967656065491</v>
      </c>
    </row>
    <row r="1118" spans="1:10" x14ac:dyDescent="0.3">
      <c r="A1118" s="1">
        <v>45377</v>
      </c>
      <c r="B1118">
        <v>1125.6600000000001</v>
      </c>
      <c r="C1118">
        <v>23.52</v>
      </c>
      <c r="D1118">
        <v>8</v>
      </c>
      <c r="E1118" s="2" t="s">
        <v>8</v>
      </c>
      <c r="F1118" s="2" t="s">
        <v>17</v>
      </c>
      <c r="G1118" s="2" t="s">
        <v>19</v>
      </c>
      <c r="H1118" s="2" t="s">
        <v>11</v>
      </c>
      <c r="I1118" s="2">
        <f t="shared" si="34"/>
        <v>1102.1400000000001</v>
      </c>
      <c r="J1118" s="2">
        <f t="shared" si="35"/>
        <v>46.859693877551024</v>
      </c>
    </row>
    <row r="1119" spans="1:10" x14ac:dyDescent="0.3">
      <c r="A1119" s="1">
        <v>45350</v>
      </c>
      <c r="B1119">
        <v>1446.48</v>
      </c>
      <c r="C1119">
        <v>78.599999999999994</v>
      </c>
      <c r="D1119">
        <v>6</v>
      </c>
      <c r="E1119" s="2" t="s">
        <v>13</v>
      </c>
      <c r="F1119" s="2" t="s">
        <v>17</v>
      </c>
      <c r="G1119" s="2" t="s">
        <v>19</v>
      </c>
      <c r="H1119" s="2" t="s">
        <v>18</v>
      </c>
      <c r="I1119" s="2">
        <f t="shared" si="34"/>
        <v>1367.88</v>
      </c>
      <c r="J1119" s="2">
        <f t="shared" si="35"/>
        <v>17.403053435114508</v>
      </c>
    </row>
    <row r="1120" spans="1:10" x14ac:dyDescent="0.3">
      <c r="A1120" s="1">
        <v>45339</v>
      </c>
      <c r="B1120">
        <v>1250.05</v>
      </c>
      <c r="C1120">
        <v>18.82</v>
      </c>
      <c r="D1120">
        <v>4</v>
      </c>
      <c r="E1120" s="2" t="s">
        <v>16</v>
      </c>
      <c r="F1120" s="2" t="s">
        <v>9</v>
      </c>
      <c r="G1120" s="2" t="s">
        <v>12</v>
      </c>
      <c r="H1120" s="2" t="s">
        <v>15</v>
      </c>
      <c r="I1120" s="2">
        <f t="shared" si="34"/>
        <v>1231.23</v>
      </c>
      <c r="J1120" s="2">
        <f t="shared" si="35"/>
        <v>65.421360255047816</v>
      </c>
    </row>
    <row r="1121" spans="1:10" x14ac:dyDescent="0.3">
      <c r="A1121" s="1">
        <v>45307</v>
      </c>
      <c r="B1121">
        <v>236.45</v>
      </c>
      <c r="C1121">
        <v>377.38</v>
      </c>
      <c r="D1121">
        <v>10</v>
      </c>
      <c r="E1121" s="2" t="s">
        <v>13</v>
      </c>
      <c r="F1121" s="2" t="s">
        <v>9</v>
      </c>
      <c r="G1121" s="2" t="s">
        <v>12</v>
      </c>
      <c r="H1121" s="2" t="s">
        <v>20</v>
      </c>
      <c r="I1121" s="2">
        <f t="shared" si="34"/>
        <v>-140.93</v>
      </c>
      <c r="J1121" s="2">
        <f t="shared" si="35"/>
        <v>-0.37344321373681705</v>
      </c>
    </row>
    <row r="1122" spans="1:10" x14ac:dyDescent="0.3">
      <c r="A1122" s="1">
        <v>45351</v>
      </c>
      <c r="B1122">
        <v>1088.9000000000001</v>
      </c>
      <c r="C1122">
        <v>237.92</v>
      </c>
      <c r="D1122">
        <v>0</v>
      </c>
      <c r="E1122" s="2" t="s">
        <v>13</v>
      </c>
      <c r="F1122" s="2" t="s">
        <v>17</v>
      </c>
      <c r="G1122" s="2" t="s">
        <v>19</v>
      </c>
      <c r="H1122" s="2" t="s">
        <v>11</v>
      </c>
      <c r="I1122" s="2">
        <f t="shared" si="34"/>
        <v>850.98000000000013</v>
      </c>
      <c r="J1122" s="2">
        <f t="shared" si="35"/>
        <v>3.5767484868863493</v>
      </c>
    </row>
    <row r="1123" spans="1:10" x14ac:dyDescent="0.3">
      <c r="A1123" s="1">
        <v>45375</v>
      </c>
      <c r="B1123">
        <v>1014.34</v>
      </c>
      <c r="C1123">
        <v>319.83</v>
      </c>
      <c r="D1123">
        <v>4</v>
      </c>
      <c r="E1123" s="2" t="s">
        <v>8</v>
      </c>
      <c r="F1123" s="2" t="s">
        <v>17</v>
      </c>
      <c r="G1123" s="2" t="s">
        <v>12</v>
      </c>
      <c r="H1123" s="2" t="s">
        <v>11</v>
      </c>
      <c r="I1123" s="2">
        <f t="shared" si="34"/>
        <v>694.51</v>
      </c>
      <c r="J1123" s="2">
        <f t="shared" si="35"/>
        <v>2.1714973579714223</v>
      </c>
    </row>
    <row r="1124" spans="1:10" x14ac:dyDescent="0.3">
      <c r="A1124" s="1">
        <v>45330</v>
      </c>
      <c r="B1124">
        <v>1053.07</v>
      </c>
      <c r="C1124">
        <v>209.7</v>
      </c>
      <c r="D1124">
        <v>8</v>
      </c>
      <c r="E1124" s="2" t="s">
        <v>13</v>
      </c>
      <c r="F1124" s="2" t="s">
        <v>17</v>
      </c>
      <c r="G1124" s="2" t="s">
        <v>10</v>
      </c>
      <c r="H1124" s="2" t="s">
        <v>20</v>
      </c>
      <c r="I1124" s="2">
        <f t="shared" si="34"/>
        <v>843.36999999999989</v>
      </c>
      <c r="J1124" s="2">
        <f t="shared" si="35"/>
        <v>4.0217930376728654</v>
      </c>
    </row>
    <row r="1125" spans="1:10" x14ac:dyDescent="0.3">
      <c r="A1125" s="1">
        <v>45367</v>
      </c>
      <c r="B1125">
        <v>777.6</v>
      </c>
      <c r="C1125">
        <v>38.4</v>
      </c>
      <c r="D1125">
        <v>6</v>
      </c>
      <c r="E1125" s="2" t="s">
        <v>8</v>
      </c>
      <c r="F1125" s="2" t="s">
        <v>17</v>
      </c>
      <c r="G1125" s="2" t="s">
        <v>14</v>
      </c>
      <c r="H1125" s="2" t="s">
        <v>11</v>
      </c>
      <c r="I1125" s="2">
        <f t="shared" si="34"/>
        <v>739.2</v>
      </c>
      <c r="J1125" s="2">
        <f t="shared" si="35"/>
        <v>19.250000000000004</v>
      </c>
    </row>
    <row r="1126" spans="1:10" x14ac:dyDescent="0.3">
      <c r="A1126" s="1">
        <v>45399</v>
      </c>
      <c r="B1126">
        <v>1245.3900000000001</v>
      </c>
      <c r="C1126">
        <v>380.92</v>
      </c>
      <c r="D1126">
        <v>3</v>
      </c>
      <c r="E1126" s="2" t="s">
        <v>8</v>
      </c>
      <c r="F1126" s="2" t="s">
        <v>9</v>
      </c>
      <c r="G1126" s="2" t="s">
        <v>14</v>
      </c>
      <c r="H1126" s="2" t="s">
        <v>20</v>
      </c>
      <c r="I1126" s="2">
        <f t="shared" si="34"/>
        <v>864.47</v>
      </c>
      <c r="J1126" s="2">
        <f t="shared" si="35"/>
        <v>2.2694266512653574</v>
      </c>
    </row>
    <row r="1127" spans="1:10" x14ac:dyDescent="0.3">
      <c r="A1127" s="1">
        <v>45299</v>
      </c>
      <c r="B1127">
        <v>490.38</v>
      </c>
      <c r="C1127">
        <v>429.13</v>
      </c>
      <c r="D1127">
        <v>6</v>
      </c>
      <c r="E1127" s="2" t="s">
        <v>8</v>
      </c>
      <c r="F1127" s="2" t="s">
        <v>9</v>
      </c>
      <c r="G1127" s="2" t="s">
        <v>10</v>
      </c>
      <c r="H1127" s="2" t="s">
        <v>18</v>
      </c>
      <c r="I1127" s="2">
        <f t="shared" si="34"/>
        <v>61.25</v>
      </c>
      <c r="J1127" s="2">
        <f t="shared" si="35"/>
        <v>0.1427306410644793</v>
      </c>
    </row>
    <row r="1128" spans="1:10" x14ac:dyDescent="0.3">
      <c r="A1128" s="1">
        <v>45328</v>
      </c>
      <c r="B1128">
        <v>331.02</v>
      </c>
      <c r="C1128">
        <v>285.70999999999998</v>
      </c>
      <c r="D1128">
        <v>0</v>
      </c>
      <c r="E1128" s="2" t="s">
        <v>16</v>
      </c>
      <c r="F1128" s="2" t="s">
        <v>17</v>
      </c>
      <c r="G1128" s="2" t="s">
        <v>12</v>
      </c>
      <c r="H1128" s="2" t="s">
        <v>15</v>
      </c>
      <c r="I1128" s="2">
        <f t="shared" si="34"/>
        <v>45.31</v>
      </c>
      <c r="J1128" s="2">
        <f t="shared" si="35"/>
        <v>0.15858737881068219</v>
      </c>
    </row>
    <row r="1129" spans="1:10" x14ac:dyDescent="0.3">
      <c r="A1129" s="1">
        <v>45351</v>
      </c>
      <c r="B1129">
        <v>257.19</v>
      </c>
      <c r="C1129">
        <v>437.17</v>
      </c>
      <c r="D1129">
        <v>2</v>
      </c>
      <c r="E1129" s="2" t="s">
        <v>13</v>
      </c>
      <c r="F1129" s="2" t="s">
        <v>9</v>
      </c>
      <c r="G1129" s="2" t="s">
        <v>19</v>
      </c>
      <c r="H1129" s="2" t="s">
        <v>15</v>
      </c>
      <c r="I1129" s="2">
        <f t="shared" si="34"/>
        <v>-179.98000000000002</v>
      </c>
      <c r="J1129" s="2">
        <f t="shared" si="35"/>
        <v>-0.41169339158679691</v>
      </c>
    </row>
    <row r="1130" spans="1:10" x14ac:dyDescent="0.3">
      <c r="A1130" s="1">
        <v>45378</v>
      </c>
      <c r="B1130">
        <v>1391.67</v>
      </c>
      <c r="C1130">
        <v>256.17</v>
      </c>
      <c r="D1130">
        <v>9</v>
      </c>
      <c r="E1130" s="2" t="s">
        <v>13</v>
      </c>
      <c r="F1130" s="2" t="s">
        <v>17</v>
      </c>
      <c r="G1130" s="2" t="s">
        <v>14</v>
      </c>
      <c r="H1130" s="2" t="s">
        <v>15</v>
      </c>
      <c r="I1130" s="2">
        <f t="shared" si="34"/>
        <v>1135.5</v>
      </c>
      <c r="J1130" s="2">
        <f t="shared" si="35"/>
        <v>4.4326033493383301</v>
      </c>
    </row>
    <row r="1131" spans="1:10" x14ac:dyDescent="0.3">
      <c r="A1131" s="1">
        <v>45361</v>
      </c>
      <c r="B1131">
        <v>575.11</v>
      </c>
      <c r="C1131">
        <v>168.03</v>
      </c>
      <c r="D1131">
        <v>1</v>
      </c>
      <c r="E1131" s="2" t="s">
        <v>13</v>
      </c>
      <c r="F1131" s="2" t="s">
        <v>9</v>
      </c>
      <c r="G1131" s="2" t="s">
        <v>19</v>
      </c>
      <c r="H1131" s="2" t="s">
        <v>11</v>
      </c>
      <c r="I1131" s="2">
        <f t="shared" si="34"/>
        <v>407.08000000000004</v>
      </c>
      <c r="J1131" s="2">
        <f t="shared" si="35"/>
        <v>2.4226626197702794</v>
      </c>
    </row>
    <row r="1132" spans="1:10" x14ac:dyDescent="0.3">
      <c r="A1132" s="1">
        <v>45394</v>
      </c>
      <c r="B1132">
        <v>873.94</v>
      </c>
      <c r="C1132">
        <v>325.64999999999998</v>
      </c>
      <c r="D1132">
        <v>10</v>
      </c>
      <c r="E1132" s="2" t="s">
        <v>13</v>
      </c>
      <c r="F1132" s="2" t="s">
        <v>9</v>
      </c>
      <c r="G1132" s="2" t="s">
        <v>12</v>
      </c>
      <c r="H1132" s="2" t="s">
        <v>11</v>
      </c>
      <c r="I1132" s="2">
        <f t="shared" si="34"/>
        <v>548.29000000000008</v>
      </c>
      <c r="J1132" s="2">
        <f t="shared" si="35"/>
        <v>1.6836787962536468</v>
      </c>
    </row>
    <row r="1133" spans="1:10" x14ac:dyDescent="0.3">
      <c r="A1133" s="1">
        <v>45351</v>
      </c>
      <c r="B1133">
        <v>535.66999999999996</v>
      </c>
      <c r="C1133">
        <v>246.47</v>
      </c>
      <c r="D1133">
        <v>7</v>
      </c>
      <c r="E1133" s="2" t="s">
        <v>13</v>
      </c>
      <c r="F1133" s="2" t="s">
        <v>9</v>
      </c>
      <c r="G1133" s="2" t="s">
        <v>19</v>
      </c>
      <c r="H1133" s="2" t="s">
        <v>20</v>
      </c>
      <c r="I1133" s="2">
        <f t="shared" si="34"/>
        <v>289.19999999999993</v>
      </c>
      <c r="J1133" s="2">
        <f t="shared" si="35"/>
        <v>1.1733679555321133</v>
      </c>
    </row>
    <row r="1134" spans="1:10" x14ac:dyDescent="0.3">
      <c r="A1134" s="1">
        <v>45365</v>
      </c>
      <c r="B1134">
        <v>1339.7</v>
      </c>
      <c r="C1134">
        <v>191.54</v>
      </c>
      <c r="D1134">
        <v>0</v>
      </c>
      <c r="E1134" s="2" t="s">
        <v>16</v>
      </c>
      <c r="F1134" s="2" t="s">
        <v>9</v>
      </c>
      <c r="G1134" s="2" t="s">
        <v>12</v>
      </c>
      <c r="H1134" s="2" t="s">
        <v>15</v>
      </c>
      <c r="I1134" s="2">
        <f t="shared" si="34"/>
        <v>1148.1600000000001</v>
      </c>
      <c r="J1134" s="2">
        <f t="shared" si="35"/>
        <v>5.9943614910723619</v>
      </c>
    </row>
    <row r="1135" spans="1:10" x14ac:dyDescent="0.3">
      <c r="A1135" s="1">
        <v>45399</v>
      </c>
      <c r="B1135">
        <v>1284.05</v>
      </c>
      <c r="C1135">
        <v>410.82</v>
      </c>
      <c r="D1135">
        <v>7</v>
      </c>
      <c r="E1135" s="2" t="s">
        <v>16</v>
      </c>
      <c r="F1135" s="2" t="s">
        <v>17</v>
      </c>
      <c r="G1135" s="2" t="s">
        <v>14</v>
      </c>
      <c r="H1135" s="2" t="s">
        <v>18</v>
      </c>
      <c r="I1135" s="2">
        <f t="shared" si="34"/>
        <v>873.23</v>
      </c>
      <c r="J1135" s="2">
        <f t="shared" si="35"/>
        <v>2.125578112068546</v>
      </c>
    </row>
    <row r="1136" spans="1:10" x14ac:dyDescent="0.3">
      <c r="A1136" s="1">
        <v>45395</v>
      </c>
      <c r="B1136">
        <v>377.95</v>
      </c>
      <c r="C1136">
        <v>55.11</v>
      </c>
      <c r="D1136">
        <v>2</v>
      </c>
      <c r="E1136" s="2" t="s">
        <v>8</v>
      </c>
      <c r="F1136" s="2" t="s">
        <v>17</v>
      </c>
      <c r="G1136" s="2" t="s">
        <v>19</v>
      </c>
      <c r="H1136" s="2" t="s">
        <v>18</v>
      </c>
      <c r="I1136" s="2">
        <f t="shared" si="34"/>
        <v>322.83999999999997</v>
      </c>
      <c r="J1136" s="2">
        <f t="shared" si="35"/>
        <v>5.8581019778624563</v>
      </c>
    </row>
    <row r="1137" spans="1:10" x14ac:dyDescent="0.3">
      <c r="A1137" s="1">
        <v>45302</v>
      </c>
      <c r="B1137">
        <v>693.15</v>
      </c>
      <c r="C1137">
        <v>495.33</v>
      </c>
      <c r="D1137">
        <v>0</v>
      </c>
      <c r="E1137" s="2" t="s">
        <v>16</v>
      </c>
      <c r="F1137" s="2" t="s">
        <v>9</v>
      </c>
      <c r="G1137" s="2" t="s">
        <v>10</v>
      </c>
      <c r="H1137" s="2" t="s">
        <v>15</v>
      </c>
      <c r="I1137" s="2">
        <f t="shared" si="34"/>
        <v>197.82</v>
      </c>
      <c r="J1137" s="2">
        <f t="shared" si="35"/>
        <v>0.3993701168917691</v>
      </c>
    </row>
    <row r="1138" spans="1:10" x14ac:dyDescent="0.3">
      <c r="A1138" s="1">
        <v>45303</v>
      </c>
      <c r="B1138">
        <v>1016.77</v>
      </c>
      <c r="C1138">
        <v>199</v>
      </c>
      <c r="D1138">
        <v>6</v>
      </c>
      <c r="E1138" s="2" t="s">
        <v>16</v>
      </c>
      <c r="F1138" s="2" t="s">
        <v>9</v>
      </c>
      <c r="G1138" s="2" t="s">
        <v>19</v>
      </c>
      <c r="H1138" s="2" t="s">
        <v>18</v>
      </c>
      <c r="I1138" s="2">
        <f t="shared" si="34"/>
        <v>817.77</v>
      </c>
      <c r="J1138" s="2">
        <f t="shared" si="35"/>
        <v>4.109396984924623</v>
      </c>
    </row>
    <row r="1139" spans="1:10" x14ac:dyDescent="0.3">
      <c r="A1139" s="1">
        <v>45307</v>
      </c>
      <c r="B1139">
        <v>836.01</v>
      </c>
      <c r="C1139">
        <v>455.32</v>
      </c>
      <c r="D1139">
        <v>3</v>
      </c>
      <c r="E1139" s="2" t="s">
        <v>16</v>
      </c>
      <c r="F1139" s="2" t="s">
        <v>9</v>
      </c>
      <c r="G1139" s="2" t="s">
        <v>14</v>
      </c>
      <c r="H1139" s="2" t="s">
        <v>15</v>
      </c>
      <c r="I1139" s="2">
        <f t="shared" si="34"/>
        <v>380.69</v>
      </c>
      <c r="J1139" s="2">
        <f t="shared" si="35"/>
        <v>0.83609329702187474</v>
      </c>
    </row>
    <row r="1140" spans="1:10" x14ac:dyDescent="0.3">
      <c r="A1140" s="1">
        <v>45398</v>
      </c>
      <c r="B1140">
        <v>60.37</v>
      </c>
      <c r="C1140">
        <v>84.41</v>
      </c>
      <c r="D1140">
        <v>0</v>
      </c>
      <c r="E1140" s="2" t="s">
        <v>8</v>
      </c>
      <c r="F1140" s="2" t="s">
        <v>9</v>
      </c>
      <c r="G1140" s="2" t="s">
        <v>12</v>
      </c>
      <c r="H1140" s="2" t="s">
        <v>18</v>
      </c>
      <c r="I1140" s="2">
        <f t="shared" si="34"/>
        <v>-24.04</v>
      </c>
      <c r="J1140" s="2">
        <f t="shared" si="35"/>
        <v>-0.28480037910200212</v>
      </c>
    </row>
    <row r="1141" spans="1:10" x14ac:dyDescent="0.3">
      <c r="A1141" s="1">
        <v>45403</v>
      </c>
      <c r="B1141">
        <v>564.94000000000005</v>
      </c>
      <c r="C1141">
        <v>247.74</v>
      </c>
      <c r="D1141">
        <v>8</v>
      </c>
      <c r="E1141" s="2" t="s">
        <v>8</v>
      </c>
      <c r="F1141" s="2" t="s">
        <v>9</v>
      </c>
      <c r="G1141" s="2" t="s">
        <v>14</v>
      </c>
      <c r="H1141" s="2" t="s">
        <v>15</v>
      </c>
      <c r="I1141" s="2">
        <f t="shared" si="34"/>
        <v>317.20000000000005</v>
      </c>
      <c r="J1141" s="2">
        <f t="shared" si="35"/>
        <v>1.2803745862597886</v>
      </c>
    </row>
    <row r="1142" spans="1:10" x14ac:dyDescent="0.3">
      <c r="A1142" s="1">
        <v>45317</v>
      </c>
      <c r="B1142">
        <v>293.05</v>
      </c>
      <c r="C1142">
        <v>278.04000000000002</v>
      </c>
      <c r="D1142">
        <v>3</v>
      </c>
      <c r="E1142" s="2" t="s">
        <v>13</v>
      </c>
      <c r="F1142" s="2" t="s">
        <v>9</v>
      </c>
      <c r="G1142" s="2" t="s">
        <v>10</v>
      </c>
      <c r="H1142" s="2" t="s">
        <v>20</v>
      </c>
      <c r="I1142" s="2">
        <f t="shared" si="34"/>
        <v>15.009999999999991</v>
      </c>
      <c r="J1142" s="2">
        <f t="shared" si="35"/>
        <v>5.3985038124010898E-2</v>
      </c>
    </row>
    <row r="1143" spans="1:10" x14ac:dyDescent="0.3">
      <c r="A1143" s="1">
        <v>45372</v>
      </c>
      <c r="B1143">
        <v>545.98</v>
      </c>
      <c r="C1143">
        <v>292.08</v>
      </c>
      <c r="D1143">
        <v>2</v>
      </c>
      <c r="E1143" s="2" t="s">
        <v>16</v>
      </c>
      <c r="F1143" s="2" t="s">
        <v>17</v>
      </c>
      <c r="G1143" s="2" t="s">
        <v>19</v>
      </c>
      <c r="H1143" s="2" t="s">
        <v>11</v>
      </c>
      <c r="I1143" s="2">
        <f t="shared" si="34"/>
        <v>253.90000000000003</v>
      </c>
      <c r="J1143" s="2">
        <f t="shared" si="35"/>
        <v>0.86928238838674354</v>
      </c>
    </row>
    <row r="1144" spans="1:10" x14ac:dyDescent="0.3">
      <c r="A1144" s="1">
        <v>45346</v>
      </c>
      <c r="B1144">
        <v>640.23</v>
      </c>
      <c r="C1144">
        <v>186.32</v>
      </c>
      <c r="D1144">
        <v>1</v>
      </c>
      <c r="E1144" s="2" t="s">
        <v>13</v>
      </c>
      <c r="F1144" s="2" t="s">
        <v>17</v>
      </c>
      <c r="G1144" s="2" t="s">
        <v>14</v>
      </c>
      <c r="H1144" s="2" t="s">
        <v>20</v>
      </c>
      <c r="I1144" s="2">
        <f t="shared" si="34"/>
        <v>453.91</v>
      </c>
      <c r="J1144" s="2">
        <f t="shared" si="35"/>
        <v>2.4361850579647921</v>
      </c>
    </row>
    <row r="1145" spans="1:10" x14ac:dyDescent="0.3">
      <c r="A1145" s="1">
        <v>45294</v>
      </c>
      <c r="B1145">
        <v>1167.48</v>
      </c>
      <c r="C1145">
        <v>350.95</v>
      </c>
      <c r="D1145">
        <v>2</v>
      </c>
      <c r="E1145" s="2" t="s">
        <v>13</v>
      </c>
      <c r="F1145" s="2" t="s">
        <v>9</v>
      </c>
      <c r="G1145" s="2" t="s">
        <v>10</v>
      </c>
      <c r="H1145" s="2" t="s">
        <v>18</v>
      </c>
      <c r="I1145" s="2">
        <f t="shared" si="34"/>
        <v>816.53</v>
      </c>
      <c r="J1145" s="2">
        <f t="shared" si="35"/>
        <v>2.326627724747115</v>
      </c>
    </row>
    <row r="1146" spans="1:10" x14ac:dyDescent="0.3">
      <c r="A1146" s="1">
        <v>45318</v>
      </c>
      <c r="B1146">
        <v>215.9</v>
      </c>
      <c r="C1146">
        <v>410.86</v>
      </c>
      <c r="D1146">
        <v>0</v>
      </c>
      <c r="E1146" s="2" t="s">
        <v>8</v>
      </c>
      <c r="F1146" s="2" t="s">
        <v>9</v>
      </c>
      <c r="G1146" s="2" t="s">
        <v>14</v>
      </c>
      <c r="H1146" s="2" t="s">
        <v>11</v>
      </c>
      <c r="I1146" s="2">
        <f t="shared" si="34"/>
        <v>-194.96</v>
      </c>
      <c r="J1146" s="2">
        <f t="shared" si="35"/>
        <v>-0.47451686705933893</v>
      </c>
    </row>
    <row r="1147" spans="1:10" x14ac:dyDescent="0.3">
      <c r="A1147" s="1">
        <v>45327</v>
      </c>
      <c r="B1147">
        <v>156.9</v>
      </c>
      <c r="C1147">
        <v>18.2</v>
      </c>
      <c r="D1147">
        <v>6</v>
      </c>
      <c r="E1147" s="2" t="s">
        <v>8</v>
      </c>
      <c r="F1147" s="2" t="s">
        <v>17</v>
      </c>
      <c r="G1147" s="2" t="s">
        <v>10</v>
      </c>
      <c r="H1147" s="2" t="s">
        <v>11</v>
      </c>
      <c r="I1147" s="2">
        <f t="shared" si="34"/>
        <v>138.70000000000002</v>
      </c>
      <c r="J1147" s="2">
        <f t="shared" si="35"/>
        <v>7.6208791208791222</v>
      </c>
    </row>
    <row r="1148" spans="1:10" x14ac:dyDescent="0.3">
      <c r="A1148" s="1">
        <v>45311</v>
      </c>
      <c r="B1148">
        <v>1244.73</v>
      </c>
      <c r="C1148">
        <v>185.23</v>
      </c>
      <c r="D1148">
        <v>1</v>
      </c>
      <c r="E1148" s="2" t="s">
        <v>8</v>
      </c>
      <c r="F1148" s="2" t="s">
        <v>9</v>
      </c>
      <c r="G1148" s="2" t="s">
        <v>14</v>
      </c>
      <c r="H1148" s="2" t="s">
        <v>18</v>
      </c>
      <c r="I1148" s="2">
        <f t="shared" si="34"/>
        <v>1059.5</v>
      </c>
      <c r="J1148" s="2">
        <f t="shared" si="35"/>
        <v>5.7199157803811485</v>
      </c>
    </row>
    <row r="1149" spans="1:10" x14ac:dyDescent="0.3">
      <c r="A1149" s="1">
        <v>45328</v>
      </c>
      <c r="B1149">
        <v>667.42</v>
      </c>
      <c r="C1149">
        <v>493.23</v>
      </c>
      <c r="D1149">
        <v>5</v>
      </c>
      <c r="E1149" s="2" t="s">
        <v>13</v>
      </c>
      <c r="F1149" s="2" t="s">
        <v>17</v>
      </c>
      <c r="G1149" s="2" t="s">
        <v>12</v>
      </c>
      <c r="H1149" s="2" t="s">
        <v>20</v>
      </c>
      <c r="I1149" s="2">
        <f t="shared" si="34"/>
        <v>174.18999999999994</v>
      </c>
      <c r="J1149" s="2">
        <f t="shared" si="35"/>
        <v>0.35316181091985471</v>
      </c>
    </row>
    <row r="1150" spans="1:10" x14ac:dyDescent="0.3">
      <c r="A1150" s="1">
        <v>45353</v>
      </c>
      <c r="B1150">
        <v>795.18</v>
      </c>
      <c r="C1150">
        <v>491.1</v>
      </c>
      <c r="D1150">
        <v>9</v>
      </c>
      <c r="E1150" s="2" t="s">
        <v>13</v>
      </c>
      <c r="F1150" s="2" t="s">
        <v>17</v>
      </c>
      <c r="G1150" s="2" t="s">
        <v>19</v>
      </c>
      <c r="H1150" s="2" t="s">
        <v>11</v>
      </c>
      <c r="I1150" s="2">
        <f t="shared" si="34"/>
        <v>304.07999999999993</v>
      </c>
      <c r="J1150" s="2">
        <f t="shared" si="35"/>
        <v>0.61918142944410492</v>
      </c>
    </row>
    <row r="1151" spans="1:10" x14ac:dyDescent="0.3">
      <c r="A1151" s="1">
        <v>45308</v>
      </c>
      <c r="B1151">
        <v>301.07</v>
      </c>
      <c r="C1151">
        <v>108.54</v>
      </c>
      <c r="D1151">
        <v>4</v>
      </c>
      <c r="E1151" s="2" t="s">
        <v>13</v>
      </c>
      <c r="F1151" s="2" t="s">
        <v>9</v>
      </c>
      <c r="G1151" s="2" t="s">
        <v>10</v>
      </c>
      <c r="H1151" s="2" t="s">
        <v>20</v>
      </c>
      <c r="I1151" s="2">
        <f t="shared" si="34"/>
        <v>192.52999999999997</v>
      </c>
      <c r="J1151" s="2">
        <f t="shared" si="35"/>
        <v>1.7738161046618754</v>
      </c>
    </row>
    <row r="1152" spans="1:10" x14ac:dyDescent="0.3">
      <c r="A1152" s="1">
        <v>45384</v>
      </c>
      <c r="B1152">
        <v>564.62</v>
      </c>
      <c r="C1152">
        <v>68.66</v>
      </c>
      <c r="D1152">
        <v>0</v>
      </c>
      <c r="E1152" s="2" t="s">
        <v>16</v>
      </c>
      <c r="F1152" s="2" t="s">
        <v>17</v>
      </c>
      <c r="G1152" s="2" t="s">
        <v>12</v>
      </c>
      <c r="H1152" s="2" t="s">
        <v>18</v>
      </c>
      <c r="I1152" s="2">
        <f t="shared" si="34"/>
        <v>495.96000000000004</v>
      </c>
      <c r="J1152" s="2">
        <f t="shared" si="35"/>
        <v>7.223419749490243</v>
      </c>
    </row>
    <row r="1153" spans="1:10" x14ac:dyDescent="0.3">
      <c r="A1153" s="1">
        <v>45355</v>
      </c>
      <c r="B1153">
        <v>940.42</v>
      </c>
      <c r="C1153">
        <v>159.13999999999999</v>
      </c>
      <c r="D1153">
        <v>5</v>
      </c>
      <c r="E1153" s="2" t="s">
        <v>13</v>
      </c>
      <c r="F1153" s="2" t="s">
        <v>9</v>
      </c>
      <c r="G1153" s="2" t="s">
        <v>14</v>
      </c>
      <c r="H1153" s="2" t="s">
        <v>20</v>
      </c>
      <c r="I1153" s="2">
        <f t="shared" si="34"/>
        <v>781.28</v>
      </c>
      <c r="J1153" s="2">
        <f t="shared" si="35"/>
        <v>4.9093879602865407</v>
      </c>
    </row>
    <row r="1154" spans="1:10" x14ac:dyDescent="0.3">
      <c r="A1154" s="1">
        <v>45357</v>
      </c>
      <c r="B1154">
        <v>1163.46</v>
      </c>
      <c r="C1154">
        <v>234.57</v>
      </c>
      <c r="D1154">
        <v>2</v>
      </c>
      <c r="E1154" s="2" t="s">
        <v>8</v>
      </c>
      <c r="F1154" s="2" t="s">
        <v>9</v>
      </c>
      <c r="G1154" s="2" t="s">
        <v>19</v>
      </c>
      <c r="H1154" s="2" t="s">
        <v>15</v>
      </c>
      <c r="I1154" s="2">
        <f t="shared" ref="I1154:I1217" si="36">B1154-C1154</f>
        <v>928.8900000000001</v>
      </c>
      <c r="J1154" s="2">
        <f t="shared" ref="J1154:J1217" si="37">IF(C1154=0,0,I1154/C1154)</f>
        <v>3.9599693055377929</v>
      </c>
    </row>
    <row r="1155" spans="1:10" x14ac:dyDescent="0.3">
      <c r="A1155" s="1">
        <v>45332</v>
      </c>
      <c r="B1155">
        <v>204.6</v>
      </c>
      <c r="C1155">
        <v>146.34</v>
      </c>
      <c r="D1155">
        <v>9</v>
      </c>
      <c r="E1155" s="2" t="s">
        <v>16</v>
      </c>
      <c r="F1155" s="2" t="s">
        <v>9</v>
      </c>
      <c r="G1155" s="2" t="s">
        <v>10</v>
      </c>
      <c r="H1155" s="2" t="s">
        <v>20</v>
      </c>
      <c r="I1155" s="2">
        <f t="shared" si="36"/>
        <v>58.259999999999991</v>
      </c>
      <c r="J1155" s="2">
        <f t="shared" si="37"/>
        <v>0.39811398113981133</v>
      </c>
    </row>
    <row r="1156" spans="1:10" x14ac:dyDescent="0.3">
      <c r="A1156" s="1">
        <v>45349</v>
      </c>
      <c r="B1156">
        <v>853.65</v>
      </c>
      <c r="C1156">
        <v>339.15</v>
      </c>
      <c r="D1156">
        <v>5</v>
      </c>
      <c r="E1156" s="2" t="s">
        <v>8</v>
      </c>
      <c r="F1156" s="2" t="s">
        <v>9</v>
      </c>
      <c r="G1156" s="2" t="s">
        <v>10</v>
      </c>
      <c r="H1156" s="2" t="s">
        <v>18</v>
      </c>
      <c r="I1156" s="2">
        <f t="shared" si="36"/>
        <v>514.5</v>
      </c>
      <c r="J1156" s="2">
        <f t="shared" si="37"/>
        <v>1.51702786377709</v>
      </c>
    </row>
    <row r="1157" spans="1:10" x14ac:dyDescent="0.3">
      <c r="A1157" s="1">
        <v>45306</v>
      </c>
      <c r="B1157">
        <v>799.13</v>
      </c>
      <c r="C1157">
        <v>247.31</v>
      </c>
      <c r="D1157">
        <v>6</v>
      </c>
      <c r="E1157" s="2" t="s">
        <v>13</v>
      </c>
      <c r="F1157" s="2" t="s">
        <v>9</v>
      </c>
      <c r="G1157" s="2" t="s">
        <v>12</v>
      </c>
      <c r="H1157" s="2" t="s">
        <v>18</v>
      </c>
      <c r="I1157" s="2">
        <f t="shared" si="36"/>
        <v>551.81999999999994</v>
      </c>
      <c r="J1157" s="2">
        <f t="shared" si="37"/>
        <v>2.231288666046662</v>
      </c>
    </row>
    <row r="1158" spans="1:10" x14ac:dyDescent="0.3">
      <c r="A1158" s="1">
        <v>45310</v>
      </c>
      <c r="B1158">
        <v>1109.04</v>
      </c>
      <c r="C1158">
        <v>12.88</v>
      </c>
      <c r="D1158">
        <v>8</v>
      </c>
      <c r="E1158" s="2" t="s">
        <v>13</v>
      </c>
      <c r="F1158" s="2" t="s">
        <v>17</v>
      </c>
      <c r="G1158" s="2" t="s">
        <v>12</v>
      </c>
      <c r="H1158" s="2" t="s">
        <v>11</v>
      </c>
      <c r="I1158" s="2">
        <f t="shared" si="36"/>
        <v>1096.1599999999999</v>
      </c>
      <c r="J1158" s="2">
        <f t="shared" si="37"/>
        <v>85.105590062111787</v>
      </c>
    </row>
    <row r="1159" spans="1:10" x14ac:dyDescent="0.3">
      <c r="A1159" s="1">
        <v>45327</v>
      </c>
      <c r="B1159">
        <v>944.08</v>
      </c>
      <c r="C1159">
        <v>424.97</v>
      </c>
      <c r="D1159">
        <v>0</v>
      </c>
      <c r="E1159" s="2" t="s">
        <v>16</v>
      </c>
      <c r="F1159" s="2" t="s">
        <v>17</v>
      </c>
      <c r="G1159" s="2" t="s">
        <v>19</v>
      </c>
      <c r="H1159" s="2" t="s">
        <v>18</v>
      </c>
      <c r="I1159" s="2">
        <f t="shared" si="36"/>
        <v>519.11</v>
      </c>
      <c r="J1159" s="2">
        <f t="shared" si="37"/>
        <v>1.2215215191660587</v>
      </c>
    </row>
    <row r="1160" spans="1:10" x14ac:dyDescent="0.3">
      <c r="A1160" s="1">
        <v>45334</v>
      </c>
      <c r="B1160">
        <v>438.57</v>
      </c>
      <c r="C1160">
        <v>207.28</v>
      </c>
      <c r="D1160">
        <v>3</v>
      </c>
      <c r="E1160" s="2" t="s">
        <v>13</v>
      </c>
      <c r="F1160" s="2" t="s">
        <v>17</v>
      </c>
      <c r="G1160" s="2" t="s">
        <v>14</v>
      </c>
      <c r="H1160" s="2" t="s">
        <v>15</v>
      </c>
      <c r="I1160" s="2">
        <f t="shared" si="36"/>
        <v>231.29</v>
      </c>
      <c r="J1160" s="2">
        <f t="shared" si="37"/>
        <v>1.115833654959475</v>
      </c>
    </row>
    <row r="1161" spans="1:10" x14ac:dyDescent="0.3">
      <c r="A1161" s="1">
        <v>45353</v>
      </c>
      <c r="B1161">
        <v>1201.32</v>
      </c>
      <c r="C1161">
        <v>242.23</v>
      </c>
      <c r="D1161">
        <v>6</v>
      </c>
      <c r="E1161" s="2" t="s">
        <v>8</v>
      </c>
      <c r="F1161" s="2" t="s">
        <v>17</v>
      </c>
      <c r="G1161" s="2" t="s">
        <v>19</v>
      </c>
      <c r="H1161" s="2" t="s">
        <v>15</v>
      </c>
      <c r="I1161" s="2">
        <f t="shared" si="36"/>
        <v>959.08999999999992</v>
      </c>
      <c r="J1161" s="2">
        <f t="shared" si="37"/>
        <v>3.9594187342608262</v>
      </c>
    </row>
    <row r="1162" spans="1:10" x14ac:dyDescent="0.3">
      <c r="A1162" s="1">
        <v>45362</v>
      </c>
      <c r="B1162">
        <v>423.69</v>
      </c>
      <c r="C1162">
        <v>53.48</v>
      </c>
      <c r="D1162">
        <v>0</v>
      </c>
      <c r="E1162" s="2" t="s">
        <v>13</v>
      </c>
      <c r="F1162" s="2" t="s">
        <v>9</v>
      </c>
      <c r="G1162" s="2" t="s">
        <v>10</v>
      </c>
      <c r="H1162" s="2" t="s">
        <v>20</v>
      </c>
      <c r="I1162" s="2">
        <f t="shared" si="36"/>
        <v>370.21</v>
      </c>
      <c r="J1162" s="2">
        <f t="shared" si="37"/>
        <v>6.9224008975317872</v>
      </c>
    </row>
    <row r="1163" spans="1:10" x14ac:dyDescent="0.3">
      <c r="A1163" s="1">
        <v>45402</v>
      </c>
      <c r="B1163">
        <v>1020.69</v>
      </c>
      <c r="C1163">
        <v>342.4</v>
      </c>
      <c r="D1163">
        <v>1</v>
      </c>
      <c r="E1163" s="2" t="s">
        <v>16</v>
      </c>
      <c r="F1163" s="2" t="s">
        <v>17</v>
      </c>
      <c r="G1163" s="2" t="s">
        <v>12</v>
      </c>
      <c r="H1163" s="2" t="s">
        <v>18</v>
      </c>
      <c r="I1163" s="2">
        <f t="shared" si="36"/>
        <v>678.29000000000008</v>
      </c>
      <c r="J1163" s="2">
        <f t="shared" si="37"/>
        <v>1.9809871495327107</v>
      </c>
    </row>
    <row r="1164" spans="1:10" x14ac:dyDescent="0.3">
      <c r="A1164" s="1">
        <v>45312</v>
      </c>
      <c r="B1164">
        <v>145.12</v>
      </c>
      <c r="C1164">
        <v>149.11000000000001</v>
      </c>
      <c r="D1164">
        <v>0</v>
      </c>
      <c r="E1164" s="2" t="s">
        <v>8</v>
      </c>
      <c r="F1164" s="2" t="s">
        <v>17</v>
      </c>
      <c r="G1164" s="2" t="s">
        <v>19</v>
      </c>
      <c r="H1164" s="2" t="s">
        <v>11</v>
      </c>
      <c r="I1164" s="2">
        <f t="shared" si="36"/>
        <v>-3.9900000000000091</v>
      </c>
      <c r="J1164" s="2">
        <f t="shared" si="37"/>
        <v>-2.6758768694252623E-2</v>
      </c>
    </row>
    <row r="1165" spans="1:10" x14ac:dyDescent="0.3">
      <c r="A1165" s="1">
        <v>45352</v>
      </c>
      <c r="B1165">
        <v>386.31</v>
      </c>
      <c r="C1165">
        <v>292.07</v>
      </c>
      <c r="D1165">
        <v>4</v>
      </c>
      <c r="E1165" s="2" t="s">
        <v>16</v>
      </c>
      <c r="F1165" s="2" t="s">
        <v>9</v>
      </c>
      <c r="G1165" s="2" t="s">
        <v>10</v>
      </c>
      <c r="H1165" s="2" t="s">
        <v>18</v>
      </c>
      <c r="I1165" s="2">
        <f t="shared" si="36"/>
        <v>94.240000000000009</v>
      </c>
      <c r="J1165" s="2">
        <f t="shared" si="37"/>
        <v>0.32266237545793819</v>
      </c>
    </row>
    <row r="1166" spans="1:10" x14ac:dyDescent="0.3">
      <c r="A1166" s="1">
        <v>45378</v>
      </c>
      <c r="B1166">
        <v>983.06</v>
      </c>
      <c r="C1166">
        <v>192.1</v>
      </c>
      <c r="D1166">
        <v>3</v>
      </c>
      <c r="E1166" s="2" t="s">
        <v>8</v>
      </c>
      <c r="F1166" s="2" t="s">
        <v>17</v>
      </c>
      <c r="G1166" s="2" t="s">
        <v>10</v>
      </c>
      <c r="H1166" s="2" t="s">
        <v>18</v>
      </c>
      <c r="I1166" s="2">
        <f t="shared" si="36"/>
        <v>790.95999999999992</v>
      </c>
      <c r="J1166" s="2">
        <f t="shared" si="37"/>
        <v>4.117438833940656</v>
      </c>
    </row>
    <row r="1167" spans="1:10" x14ac:dyDescent="0.3">
      <c r="A1167" s="1">
        <v>45387</v>
      </c>
      <c r="B1167">
        <v>646.15</v>
      </c>
      <c r="C1167">
        <v>221.12</v>
      </c>
      <c r="D1167">
        <v>7</v>
      </c>
      <c r="E1167" s="2" t="s">
        <v>13</v>
      </c>
      <c r="F1167" s="2" t="s">
        <v>17</v>
      </c>
      <c r="G1167" s="2" t="s">
        <v>10</v>
      </c>
      <c r="H1167" s="2" t="s">
        <v>20</v>
      </c>
      <c r="I1167" s="2">
        <f t="shared" si="36"/>
        <v>425.03</v>
      </c>
      <c r="J1167" s="2">
        <f t="shared" si="37"/>
        <v>1.9221689580318377</v>
      </c>
    </row>
    <row r="1168" spans="1:10" x14ac:dyDescent="0.3">
      <c r="A1168" s="1">
        <v>45347</v>
      </c>
      <c r="B1168">
        <v>339.21</v>
      </c>
      <c r="C1168">
        <v>121.63</v>
      </c>
      <c r="D1168">
        <v>9</v>
      </c>
      <c r="E1168" s="2" t="s">
        <v>13</v>
      </c>
      <c r="F1168" s="2" t="s">
        <v>9</v>
      </c>
      <c r="G1168" s="2" t="s">
        <v>12</v>
      </c>
      <c r="H1168" s="2" t="s">
        <v>11</v>
      </c>
      <c r="I1168" s="2">
        <f t="shared" si="36"/>
        <v>217.57999999999998</v>
      </c>
      <c r="J1168" s="2">
        <f t="shared" si="37"/>
        <v>1.7888678779906273</v>
      </c>
    </row>
    <row r="1169" spans="1:10" x14ac:dyDescent="0.3">
      <c r="A1169" s="1">
        <v>45294</v>
      </c>
      <c r="B1169">
        <v>655.79</v>
      </c>
      <c r="C1169">
        <v>18.82</v>
      </c>
      <c r="D1169">
        <v>1</v>
      </c>
      <c r="E1169" s="2" t="s">
        <v>8</v>
      </c>
      <c r="F1169" s="2" t="s">
        <v>17</v>
      </c>
      <c r="G1169" s="2" t="s">
        <v>12</v>
      </c>
      <c r="H1169" s="2" t="s">
        <v>15</v>
      </c>
      <c r="I1169" s="2">
        <f t="shared" si="36"/>
        <v>636.96999999999991</v>
      </c>
      <c r="J1169" s="2">
        <f t="shared" si="37"/>
        <v>33.845377258235914</v>
      </c>
    </row>
    <row r="1170" spans="1:10" x14ac:dyDescent="0.3">
      <c r="A1170" s="1">
        <v>45348</v>
      </c>
      <c r="B1170">
        <v>1454.96</v>
      </c>
      <c r="C1170">
        <v>388.52</v>
      </c>
      <c r="D1170">
        <v>6</v>
      </c>
      <c r="E1170" s="2" t="s">
        <v>8</v>
      </c>
      <c r="F1170" s="2" t="s">
        <v>17</v>
      </c>
      <c r="G1170" s="2" t="s">
        <v>12</v>
      </c>
      <c r="H1170" s="2" t="s">
        <v>20</v>
      </c>
      <c r="I1170" s="2">
        <f t="shared" si="36"/>
        <v>1066.44</v>
      </c>
      <c r="J1170" s="2">
        <f t="shared" si="37"/>
        <v>2.7448779985586329</v>
      </c>
    </row>
    <row r="1171" spans="1:10" x14ac:dyDescent="0.3">
      <c r="A1171" s="1">
        <v>45293</v>
      </c>
      <c r="B1171">
        <v>409.22</v>
      </c>
      <c r="C1171">
        <v>391.04</v>
      </c>
      <c r="D1171">
        <v>6</v>
      </c>
      <c r="E1171" s="2" t="s">
        <v>8</v>
      </c>
      <c r="F1171" s="2" t="s">
        <v>9</v>
      </c>
      <c r="G1171" s="2" t="s">
        <v>19</v>
      </c>
      <c r="H1171" s="2" t="s">
        <v>11</v>
      </c>
      <c r="I1171" s="2">
        <f t="shared" si="36"/>
        <v>18.180000000000007</v>
      </c>
      <c r="J1171" s="2">
        <f t="shared" si="37"/>
        <v>4.6491407528641587E-2</v>
      </c>
    </row>
    <row r="1172" spans="1:10" x14ac:dyDescent="0.3">
      <c r="A1172" s="1">
        <v>45300</v>
      </c>
      <c r="B1172">
        <v>839.75</v>
      </c>
      <c r="C1172">
        <v>225.87</v>
      </c>
      <c r="D1172">
        <v>5</v>
      </c>
      <c r="E1172" s="2" t="s">
        <v>16</v>
      </c>
      <c r="F1172" s="2" t="s">
        <v>9</v>
      </c>
      <c r="G1172" s="2" t="s">
        <v>19</v>
      </c>
      <c r="H1172" s="2" t="s">
        <v>18</v>
      </c>
      <c r="I1172" s="2">
        <f t="shared" si="36"/>
        <v>613.88</v>
      </c>
      <c r="J1172" s="2">
        <f t="shared" si="37"/>
        <v>2.7178465488998094</v>
      </c>
    </row>
    <row r="1173" spans="1:10" x14ac:dyDescent="0.3">
      <c r="A1173" s="1">
        <v>45361</v>
      </c>
      <c r="B1173">
        <v>612</v>
      </c>
      <c r="C1173">
        <v>340.09</v>
      </c>
      <c r="D1173">
        <v>1</v>
      </c>
      <c r="E1173" s="2" t="s">
        <v>13</v>
      </c>
      <c r="F1173" s="2" t="s">
        <v>9</v>
      </c>
      <c r="G1173" s="2" t="s">
        <v>12</v>
      </c>
      <c r="H1173" s="2" t="s">
        <v>20</v>
      </c>
      <c r="I1173" s="2">
        <f t="shared" si="36"/>
        <v>271.91000000000003</v>
      </c>
      <c r="J1173" s="2">
        <f t="shared" si="37"/>
        <v>0.79952365550295523</v>
      </c>
    </row>
    <row r="1174" spans="1:10" x14ac:dyDescent="0.3">
      <c r="A1174" s="1">
        <v>45385</v>
      </c>
      <c r="B1174">
        <v>740.15</v>
      </c>
      <c r="C1174">
        <v>490.07</v>
      </c>
      <c r="D1174">
        <v>10</v>
      </c>
      <c r="E1174" s="2" t="s">
        <v>16</v>
      </c>
      <c r="F1174" s="2" t="s">
        <v>17</v>
      </c>
      <c r="G1174" s="2" t="s">
        <v>12</v>
      </c>
      <c r="H1174" s="2" t="s">
        <v>18</v>
      </c>
      <c r="I1174" s="2">
        <f t="shared" si="36"/>
        <v>250.07999999999998</v>
      </c>
      <c r="J1174" s="2">
        <f t="shared" si="37"/>
        <v>0.51029444773195665</v>
      </c>
    </row>
    <row r="1175" spans="1:10" x14ac:dyDescent="0.3">
      <c r="A1175" s="1">
        <v>45404</v>
      </c>
      <c r="B1175">
        <v>886.65</v>
      </c>
      <c r="C1175">
        <v>135.32</v>
      </c>
      <c r="D1175">
        <v>7</v>
      </c>
      <c r="E1175" s="2" t="s">
        <v>13</v>
      </c>
      <c r="F1175" s="2" t="s">
        <v>9</v>
      </c>
      <c r="G1175" s="2" t="s">
        <v>10</v>
      </c>
      <c r="H1175" s="2" t="s">
        <v>11</v>
      </c>
      <c r="I1175" s="2">
        <f t="shared" si="36"/>
        <v>751.32999999999993</v>
      </c>
      <c r="J1175" s="2">
        <f t="shared" si="37"/>
        <v>5.5522465267514036</v>
      </c>
    </row>
    <row r="1176" spans="1:10" x14ac:dyDescent="0.3">
      <c r="A1176" s="1">
        <v>45316</v>
      </c>
      <c r="B1176">
        <v>1371.73</v>
      </c>
      <c r="C1176">
        <v>360.91</v>
      </c>
      <c r="D1176">
        <v>3</v>
      </c>
      <c r="E1176" s="2" t="s">
        <v>8</v>
      </c>
      <c r="F1176" s="2" t="s">
        <v>17</v>
      </c>
      <c r="G1176" s="2" t="s">
        <v>10</v>
      </c>
      <c r="H1176" s="2" t="s">
        <v>15</v>
      </c>
      <c r="I1176" s="2">
        <f t="shared" si="36"/>
        <v>1010.8199999999999</v>
      </c>
      <c r="J1176" s="2">
        <f t="shared" si="37"/>
        <v>2.8007536504945829</v>
      </c>
    </row>
    <row r="1177" spans="1:10" x14ac:dyDescent="0.3">
      <c r="A1177" s="1">
        <v>45357</v>
      </c>
      <c r="B1177">
        <v>1183.4100000000001</v>
      </c>
      <c r="C1177">
        <v>446.99</v>
      </c>
      <c r="D1177">
        <v>7</v>
      </c>
      <c r="E1177" s="2" t="s">
        <v>13</v>
      </c>
      <c r="F1177" s="2" t="s">
        <v>17</v>
      </c>
      <c r="G1177" s="2" t="s">
        <v>12</v>
      </c>
      <c r="H1177" s="2" t="s">
        <v>15</v>
      </c>
      <c r="I1177" s="2">
        <f t="shared" si="36"/>
        <v>736.42000000000007</v>
      </c>
      <c r="J1177" s="2">
        <f t="shared" si="37"/>
        <v>1.6475088928163941</v>
      </c>
    </row>
    <row r="1178" spans="1:10" x14ac:dyDescent="0.3">
      <c r="A1178" s="1">
        <v>45382</v>
      </c>
      <c r="B1178">
        <v>449.51</v>
      </c>
      <c r="C1178">
        <v>122.35</v>
      </c>
      <c r="D1178">
        <v>3</v>
      </c>
      <c r="E1178" s="2" t="s">
        <v>16</v>
      </c>
      <c r="F1178" s="2" t="s">
        <v>9</v>
      </c>
      <c r="G1178" s="2" t="s">
        <v>19</v>
      </c>
      <c r="H1178" s="2" t="s">
        <v>18</v>
      </c>
      <c r="I1178" s="2">
        <f t="shared" si="36"/>
        <v>327.15999999999997</v>
      </c>
      <c r="J1178" s="2">
        <f t="shared" si="37"/>
        <v>2.6739681242337556</v>
      </c>
    </row>
    <row r="1179" spans="1:10" x14ac:dyDescent="0.3">
      <c r="A1179" s="1">
        <v>45314</v>
      </c>
      <c r="B1179">
        <v>1244.6099999999999</v>
      </c>
      <c r="C1179">
        <v>499.09</v>
      </c>
      <c r="D1179">
        <v>1</v>
      </c>
      <c r="E1179" s="2" t="s">
        <v>13</v>
      </c>
      <c r="F1179" s="2" t="s">
        <v>17</v>
      </c>
      <c r="G1179" s="2" t="s">
        <v>10</v>
      </c>
      <c r="H1179" s="2" t="s">
        <v>20</v>
      </c>
      <c r="I1179" s="2">
        <f t="shared" si="36"/>
        <v>745.52</v>
      </c>
      <c r="J1179" s="2">
        <f t="shared" si="37"/>
        <v>1.4937586407261216</v>
      </c>
    </row>
    <row r="1180" spans="1:10" x14ac:dyDescent="0.3">
      <c r="A1180" s="1">
        <v>45339</v>
      </c>
      <c r="B1180">
        <v>264.76</v>
      </c>
      <c r="C1180">
        <v>236.06</v>
      </c>
      <c r="D1180">
        <v>1</v>
      </c>
      <c r="E1180" s="2" t="s">
        <v>13</v>
      </c>
      <c r="F1180" s="2" t="s">
        <v>9</v>
      </c>
      <c r="G1180" s="2" t="s">
        <v>14</v>
      </c>
      <c r="H1180" s="2" t="s">
        <v>11</v>
      </c>
      <c r="I1180" s="2">
        <f t="shared" si="36"/>
        <v>28.699999999999989</v>
      </c>
      <c r="J1180" s="2">
        <f t="shared" si="37"/>
        <v>0.12157925951029394</v>
      </c>
    </row>
    <row r="1181" spans="1:10" x14ac:dyDescent="0.3">
      <c r="A1181" s="1">
        <v>45313</v>
      </c>
      <c r="B1181">
        <v>613.08000000000004</v>
      </c>
      <c r="C1181">
        <v>188.56</v>
      </c>
      <c r="D1181">
        <v>4</v>
      </c>
      <c r="E1181" s="2" t="s">
        <v>8</v>
      </c>
      <c r="F1181" s="2" t="s">
        <v>9</v>
      </c>
      <c r="G1181" s="2" t="s">
        <v>12</v>
      </c>
      <c r="H1181" s="2" t="s">
        <v>20</v>
      </c>
      <c r="I1181" s="2">
        <f t="shared" si="36"/>
        <v>424.52000000000004</v>
      </c>
      <c r="J1181" s="2">
        <f t="shared" si="37"/>
        <v>2.2513788714467546</v>
      </c>
    </row>
    <row r="1182" spans="1:10" x14ac:dyDescent="0.3">
      <c r="A1182" s="1">
        <v>45352</v>
      </c>
      <c r="B1182">
        <v>534.78</v>
      </c>
      <c r="C1182">
        <v>414.83</v>
      </c>
      <c r="D1182">
        <v>2</v>
      </c>
      <c r="E1182" s="2" t="s">
        <v>16</v>
      </c>
      <c r="F1182" s="2" t="s">
        <v>9</v>
      </c>
      <c r="G1182" s="2" t="s">
        <v>14</v>
      </c>
      <c r="H1182" s="2" t="s">
        <v>11</v>
      </c>
      <c r="I1182" s="2">
        <f t="shared" si="36"/>
        <v>119.94999999999999</v>
      </c>
      <c r="J1182" s="2">
        <f t="shared" si="37"/>
        <v>0.28915459344791838</v>
      </c>
    </row>
    <row r="1183" spans="1:10" x14ac:dyDescent="0.3">
      <c r="A1183" s="1">
        <v>45346</v>
      </c>
      <c r="B1183">
        <v>139.26</v>
      </c>
      <c r="C1183">
        <v>359.44</v>
      </c>
      <c r="D1183">
        <v>9</v>
      </c>
      <c r="E1183" s="2" t="s">
        <v>16</v>
      </c>
      <c r="F1183" s="2" t="s">
        <v>17</v>
      </c>
      <c r="G1183" s="2" t="s">
        <v>14</v>
      </c>
      <c r="H1183" s="2" t="s">
        <v>11</v>
      </c>
      <c r="I1183" s="2">
        <f t="shared" si="36"/>
        <v>-220.18</v>
      </c>
      <c r="J1183" s="2">
        <f t="shared" si="37"/>
        <v>-0.61256398842644111</v>
      </c>
    </row>
    <row r="1184" spans="1:10" x14ac:dyDescent="0.3">
      <c r="A1184" s="1">
        <v>45363</v>
      </c>
      <c r="B1184">
        <v>541.46</v>
      </c>
      <c r="C1184">
        <v>390.37</v>
      </c>
      <c r="D1184">
        <v>2</v>
      </c>
      <c r="E1184" s="2" t="s">
        <v>13</v>
      </c>
      <c r="F1184" s="2" t="s">
        <v>17</v>
      </c>
      <c r="G1184" s="2" t="s">
        <v>12</v>
      </c>
      <c r="H1184" s="2" t="s">
        <v>18</v>
      </c>
      <c r="I1184" s="2">
        <f t="shared" si="36"/>
        <v>151.09000000000003</v>
      </c>
      <c r="J1184" s="2">
        <f t="shared" si="37"/>
        <v>0.38704306171068481</v>
      </c>
    </row>
    <row r="1185" spans="1:10" x14ac:dyDescent="0.3">
      <c r="A1185" s="1">
        <v>45331</v>
      </c>
      <c r="B1185">
        <v>747.44</v>
      </c>
      <c r="C1185">
        <v>109.06</v>
      </c>
      <c r="D1185">
        <v>9</v>
      </c>
      <c r="E1185" s="2" t="s">
        <v>8</v>
      </c>
      <c r="F1185" s="2" t="s">
        <v>17</v>
      </c>
      <c r="G1185" s="2" t="s">
        <v>12</v>
      </c>
      <c r="H1185" s="2" t="s">
        <v>20</v>
      </c>
      <c r="I1185" s="2">
        <f t="shared" si="36"/>
        <v>638.38000000000011</v>
      </c>
      <c r="J1185" s="2">
        <f t="shared" si="37"/>
        <v>5.8534751512928676</v>
      </c>
    </row>
    <row r="1186" spans="1:10" x14ac:dyDescent="0.3">
      <c r="A1186" s="1">
        <v>45364</v>
      </c>
      <c r="B1186">
        <v>932.62</v>
      </c>
      <c r="C1186">
        <v>379.3</v>
      </c>
      <c r="D1186">
        <v>3</v>
      </c>
      <c r="E1186" s="2" t="s">
        <v>16</v>
      </c>
      <c r="F1186" s="2" t="s">
        <v>9</v>
      </c>
      <c r="G1186" s="2" t="s">
        <v>10</v>
      </c>
      <c r="H1186" s="2" t="s">
        <v>20</v>
      </c>
      <c r="I1186" s="2">
        <f t="shared" si="36"/>
        <v>553.31999999999994</v>
      </c>
      <c r="J1186" s="2">
        <f t="shared" si="37"/>
        <v>1.4587925125230685</v>
      </c>
    </row>
    <row r="1187" spans="1:10" x14ac:dyDescent="0.3">
      <c r="A1187" s="1">
        <v>45351</v>
      </c>
      <c r="B1187">
        <v>1048.51</v>
      </c>
      <c r="C1187">
        <v>301.08</v>
      </c>
      <c r="D1187">
        <v>1</v>
      </c>
      <c r="E1187" s="2" t="s">
        <v>16</v>
      </c>
      <c r="F1187" s="2" t="s">
        <v>9</v>
      </c>
      <c r="G1187" s="2" t="s">
        <v>10</v>
      </c>
      <c r="H1187" s="2" t="s">
        <v>18</v>
      </c>
      <c r="I1187" s="2">
        <f t="shared" si="36"/>
        <v>747.43000000000006</v>
      </c>
      <c r="J1187" s="2">
        <f t="shared" si="37"/>
        <v>2.4824963464859842</v>
      </c>
    </row>
    <row r="1188" spans="1:10" x14ac:dyDescent="0.3">
      <c r="A1188" s="1">
        <v>45404</v>
      </c>
      <c r="B1188">
        <v>715.9</v>
      </c>
      <c r="C1188">
        <v>444.6</v>
      </c>
      <c r="D1188">
        <v>3</v>
      </c>
      <c r="E1188" s="2" t="s">
        <v>13</v>
      </c>
      <c r="F1188" s="2" t="s">
        <v>9</v>
      </c>
      <c r="G1188" s="2" t="s">
        <v>19</v>
      </c>
      <c r="H1188" s="2" t="s">
        <v>15</v>
      </c>
      <c r="I1188" s="2">
        <f t="shared" si="36"/>
        <v>271.29999999999995</v>
      </c>
      <c r="J1188" s="2">
        <f t="shared" si="37"/>
        <v>0.6102114260008995</v>
      </c>
    </row>
    <row r="1189" spans="1:10" x14ac:dyDescent="0.3">
      <c r="A1189" s="1">
        <v>45385</v>
      </c>
      <c r="B1189">
        <v>578.57000000000005</v>
      </c>
      <c r="C1189">
        <v>18.940000000000001</v>
      </c>
      <c r="D1189">
        <v>1</v>
      </c>
      <c r="E1189" s="2" t="s">
        <v>8</v>
      </c>
      <c r="F1189" s="2" t="s">
        <v>17</v>
      </c>
      <c r="G1189" s="2" t="s">
        <v>19</v>
      </c>
      <c r="H1189" s="2" t="s">
        <v>11</v>
      </c>
      <c r="I1189" s="2">
        <f t="shared" si="36"/>
        <v>559.63</v>
      </c>
      <c r="J1189" s="2">
        <f t="shared" si="37"/>
        <v>29.547518479408655</v>
      </c>
    </row>
    <row r="1190" spans="1:10" x14ac:dyDescent="0.3">
      <c r="A1190" s="1">
        <v>45384</v>
      </c>
      <c r="B1190">
        <v>1093.6099999999999</v>
      </c>
      <c r="C1190">
        <v>369.08</v>
      </c>
      <c r="D1190">
        <v>4</v>
      </c>
      <c r="E1190" s="2" t="s">
        <v>13</v>
      </c>
      <c r="F1190" s="2" t="s">
        <v>9</v>
      </c>
      <c r="G1190" s="2" t="s">
        <v>10</v>
      </c>
      <c r="H1190" s="2" t="s">
        <v>18</v>
      </c>
      <c r="I1190" s="2">
        <f t="shared" si="36"/>
        <v>724.53</v>
      </c>
      <c r="J1190" s="2">
        <f t="shared" si="37"/>
        <v>1.9630703370542972</v>
      </c>
    </row>
    <row r="1191" spans="1:10" x14ac:dyDescent="0.3">
      <c r="A1191" s="1">
        <v>45341</v>
      </c>
      <c r="B1191">
        <v>327.69</v>
      </c>
      <c r="C1191">
        <v>423.41</v>
      </c>
      <c r="D1191">
        <v>0</v>
      </c>
      <c r="E1191" s="2" t="s">
        <v>16</v>
      </c>
      <c r="F1191" s="2" t="s">
        <v>17</v>
      </c>
      <c r="G1191" s="2" t="s">
        <v>14</v>
      </c>
      <c r="H1191" s="2" t="s">
        <v>15</v>
      </c>
      <c r="I1191" s="2">
        <f t="shared" si="36"/>
        <v>-95.720000000000027</v>
      </c>
      <c r="J1191" s="2">
        <f t="shared" si="37"/>
        <v>-0.22606929453720984</v>
      </c>
    </row>
    <row r="1192" spans="1:10" x14ac:dyDescent="0.3">
      <c r="A1192" s="1">
        <v>45394</v>
      </c>
      <c r="B1192">
        <v>1101.94</v>
      </c>
      <c r="C1192">
        <v>473.91</v>
      </c>
      <c r="D1192">
        <v>5</v>
      </c>
      <c r="E1192" s="2" t="s">
        <v>16</v>
      </c>
      <c r="F1192" s="2" t="s">
        <v>9</v>
      </c>
      <c r="G1192" s="2" t="s">
        <v>10</v>
      </c>
      <c r="H1192" s="2" t="s">
        <v>20</v>
      </c>
      <c r="I1192" s="2">
        <f t="shared" si="36"/>
        <v>628.03</v>
      </c>
      <c r="J1192" s="2">
        <f t="shared" si="37"/>
        <v>1.3252094279504547</v>
      </c>
    </row>
    <row r="1193" spans="1:10" x14ac:dyDescent="0.3">
      <c r="A1193" s="1">
        <v>45310</v>
      </c>
      <c r="B1193">
        <v>166.97</v>
      </c>
      <c r="C1193">
        <v>383.81</v>
      </c>
      <c r="D1193">
        <v>10</v>
      </c>
      <c r="E1193" s="2" t="s">
        <v>13</v>
      </c>
      <c r="F1193" s="2" t="s">
        <v>9</v>
      </c>
      <c r="G1193" s="2" t="s">
        <v>12</v>
      </c>
      <c r="H1193" s="2" t="s">
        <v>20</v>
      </c>
      <c r="I1193" s="2">
        <f t="shared" si="36"/>
        <v>-216.84</v>
      </c>
      <c r="J1193" s="2">
        <f t="shared" si="37"/>
        <v>-0.56496704098382011</v>
      </c>
    </row>
    <row r="1194" spans="1:10" x14ac:dyDescent="0.3">
      <c r="A1194" s="1">
        <v>45329</v>
      </c>
      <c r="B1194">
        <v>243.28</v>
      </c>
      <c r="C1194">
        <v>486.74</v>
      </c>
      <c r="D1194">
        <v>2</v>
      </c>
      <c r="E1194" s="2" t="s">
        <v>16</v>
      </c>
      <c r="F1194" s="2" t="s">
        <v>17</v>
      </c>
      <c r="G1194" s="2" t="s">
        <v>12</v>
      </c>
      <c r="H1194" s="2" t="s">
        <v>20</v>
      </c>
      <c r="I1194" s="2">
        <f t="shared" si="36"/>
        <v>-243.46</v>
      </c>
      <c r="J1194" s="2">
        <f t="shared" si="37"/>
        <v>-0.50018490364465629</v>
      </c>
    </row>
    <row r="1195" spans="1:10" x14ac:dyDescent="0.3">
      <c r="A1195" s="1">
        <v>45311</v>
      </c>
      <c r="B1195">
        <v>1481.09</v>
      </c>
      <c r="C1195">
        <v>32.31</v>
      </c>
      <c r="D1195">
        <v>4</v>
      </c>
      <c r="E1195" s="2" t="s">
        <v>13</v>
      </c>
      <c r="F1195" s="2" t="s">
        <v>9</v>
      </c>
      <c r="G1195" s="2" t="s">
        <v>10</v>
      </c>
      <c r="H1195" s="2" t="s">
        <v>15</v>
      </c>
      <c r="I1195" s="2">
        <f t="shared" si="36"/>
        <v>1448.78</v>
      </c>
      <c r="J1195" s="2">
        <f t="shared" si="37"/>
        <v>44.839987619931904</v>
      </c>
    </row>
    <row r="1196" spans="1:10" x14ac:dyDescent="0.3">
      <c r="A1196" s="1">
        <v>45389</v>
      </c>
      <c r="B1196">
        <v>1072.3900000000001</v>
      </c>
      <c r="C1196">
        <v>338.19</v>
      </c>
      <c r="D1196">
        <v>6</v>
      </c>
      <c r="E1196" s="2" t="s">
        <v>16</v>
      </c>
      <c r="F1196" s="2" t="s">
        <v>9</v>
      </c>
      <c r="G1196" s="2" t="s">
        <v>19</v>
      </c>
      <c r="H1196" s="2" t="s">
        <v>18</v>
      </c>
      <c r="I1196" s="2">
        <f t="shared" si="36"/>
        <v>734.2</v>
      </c>
      <c r="J1196" s="2">
        <f t="shared" si="37"/>
        <v>2.1709689819332327</v>
      </c>
    </row>
    <row r="1197" spans="1:10" x14ac:dyDescent="0.3">
      <c r="A1197" s="1">
        <v>45309</v>
      </c>
      <c r="B1197">
        <v>224.68</v>
      </c>
      <c r="C1197">
        <v>384.02</v>
      </c>
      <c r="D1197">
        <v>8</v>
      </c>
      <c r="E1197" s="2" t="s">
        <v>16</v>
      </c>
      <c r="F1197" s="2" t="s">
        <v>17</v>
      </c>
      <c r="G1197" s="2" t="s">
        <v>14</v>
      </c>
      <c r="H1197" s="2" t="s">
        <v>15</v>
      </c>
      <c r="I1197" s="2">
        <f t="shared" si="36"/>
        <v>-159.33999999999997</v>
      </c>
      <c r="J1197" s="2">
        <f t="shared" si="37"/>
        <v>-0.41492630592156654</v>
      </c>
    </row>
    <row r="1198" spans="1:10" x14ac:dyDescent="0.3">
      <c r="A1198" s="1">
        <v>45370</v>
      </c>
      <c r="B1198">
        <v>418.98</v>
      </c>
      <c r="C1198">
        <v>180.74</v>
      </c>
      <c r="D1198">
        <v>10</v>
      </c>
      <c r="E1198" s="2" t="s">
        <v>8</v>
      </c>
      <c r="F1198" s="2" t="s">
        <v>17</v>
      </c>
      <c r="G1198" s="2" t="s">
        <v>14</v>
      </c>
      <c r="H1198" s="2" t="s">
        <v>15</v>
      </c>
      <c r="I1198" s="2">
        <f t="shared" si="36"/>
        <v>238.24</v>
      </c>
      <c r="J1198" s="2">
        <f t="shared" si="37"/>
        <v>1.318136549739958</v>
      </c>
    </row>
    <row r="1199" spans="1:10" x14ac:dyDescent="0.3">
      <c r="A1199" s="1">
        <v>45412</v>
      </c>
      <c r="B1199">
        <v>543.88</v>
      </c>
      <c r="C1199">
        <v>427.99</v>
      </c>
      <c r="D1199">
        <v>8</v>
      </c>
      <c r="E1199" s="2" t="s">
        <v>8</v>
      </c>
      <c r="F1199" s="2" t="s">
        <v>17</v>
      </c>
      <c r="G1199" s="2" t="s">
        <v>14</v>
      </c>
      <c r="H1199" s="2" t="s">
        <v>11</v>
      </c>
      <c r="I1199" s="2">
        <f t="shared" si="36"/>
        <v>115.88999999999999</v>
      </c>
      <c r="J1199" s="2">
        <f t="shared" si="37"/>
        <v>0.27077735461108898</v>
      </c>
    </row>
    <row r="1200" spans="1:10" x14ac:dyDescent="0.3">
      <c r="A1200" s="1">
        <v>45379</v>
      </c>
      <c r="B1200">
        <v>1073.58</v>
      </c>
      <c r="C1200">
        <v>98.86</v>
      </c>
      <c r="D1200">
        <v>2</v>
      </c>
      <c r="E1200" s="2" t="s">
        <v>16</v>
      </c>
      <c r="F1200" s="2" t="s">
        <v>9</v>
      </c>
      <c r="G1200" s="2" t="s">
        <v>10</v>
      </c>
      <c r="H1200" s="2" t="s">
        <v>20</v>
      </c>
      <c r="I1200" s="2">
        <f t="shared" si="36"/>
        <v>974.71999999999991</v>
      </c>
      <c r="J1200" s="2">
        <f t="shared" si="37"/>
        <v>9.8595994335423818</v>
      </c>
    </row>
    <row r="1201" spans="1:10" x14ac:dyDescent="0.3">
      <c r="A1201" s="1">
        <v>45407</v>
      </c>
      <c r="B1201">
        <v>1098.72</v>
      </c>
      <c r="C1201">
        <v>45.4</v>
      </c>
      <c r="D1201">
        <v>9</v>
      </c>
      <c r="E1201" s="2" t="s">
        <v>16</v>
      </c>
      <c r="F1201" s="2" t="s">
        <v>17</v>
      </c>
      <c r="G1201" s="2" t="s">
        <v>14</v>
      </c>
      <c r="H1201" s="2" t="s">
        <v>11</v>
      </c>
      <c r="I1201" s="2">
        <f t="shared" si="36"/>
        <v>1053.32</v>
      </c>
      <c r="J1201" s="2">
        <f t="shared" si="37"/>
        <v>23.20088105726872</v>
      </c>
    </row>
    <row r="1202" spans="1:10" x14ac:dyDescent="0.3">
      <c r="A1202" s="1">
        <v>45401</v>
      </c>
      <c r="B1202">
        <v>1495.94</v>
      </c>
      <c r="C1202">
        <v>200.8</v>
      </c>
      <c r="D1202">
        <v>4</v>
      </c>
      <c r="E1202" s="2" t="s">
        <v>13</v>
      </c>
      <c r="F1202" s="2" t="s">
        <v>9</v>
      </c>
      <c r="G1202" s="2" t="s">
        <v>10</v>
      </c>
      <c r="H1202" s="2" t="s">
        <v>18</v>
      </c>
      <c r="I1202" s="2">
        <f t="shared" si="36"/>
        <v>1295.1400000000001</v>
      </c>
      <c r="J1202" s="2">
        <f t="shared" si="37"/>
        <v>6.449900398406375</v>
      </c>
    </row>
    <row r="1203" spans="1:10" x14ac:dyDescent="0.3">
      <c r="A1203" s="1">
        <v>45309</v>
      </c>
      <c r="B1203">
        <v>516.14</v>
      </c>
      <c r="C1203">
        <v>41.77</v>
      </c>
      <c r="D1203">
        <v>8</v>
      </c>
      <c r="E1203" s="2" t="s">
        <v>16</v>
      </c>
      <c r="F1203" s="2" t="s">
        <v>9</v>
      </c>
      <c r="G1203" s="2" t="s">
        <v>14</v>
      </c>
      <c r="H1203" s="2" t="s">
        <v>18</v>
      </c>
      <c r="I1203" s="2">
        <f t="shared" si="36"/>
        <v>474.37</v>
      </c>
      <c r="J1203" s="2">
        <f t="shared" si="37"/>
        <v>11.356715345942064</v>
      </c>
    </row>
    <row r="1204" spans="1:10" x14ac:dyDescent="0.3">
      <c r="A1204" s="1">
        <v>45315</v>
      </c>
      <c r="B1204">
        <v>1039.8900000000001</v>
      </c>
      <c r="C1204">
        <v>467.59</v>
      </c>
      <c r="D1204">
        <v>7</v>
      </c>
      <c r="E1204" s="2" t="s">
        <v>16</v>
      </c>
      <c r="F1204" s="2" t="s">
        <v>9</v>
      </c>
      <c r="G1204" s="2" t="s">
        <v>14</v>
      </c>
      <c r="H1204" s="2" t="s">
        <v>18</v>
      </c>
      <c r="I1204" s="2">
        <f t="shared" si="36"/>
        <v>572.30000000000018</v>
      </c>
      <c r="J1204" s="2">
        <f t="shared" si="37"/>
        <v>1.223935499048312</v>
      </c>
    </row>
    <row r="1205" spans="1:10" x14ac:dyDescent="0.3">
      <c r="A1205" s="1">
        <v>45330</v>
      </c>
      <c r="B1205">
        <v>722.24</v>
      </c>
      <c r="C1205">
        <v>498.02</v>
      </c>
      <c r="D1205">
        <v>8</v>
      </c>
      <c r="E1205" s="2" t="s">
        <v>16</v>
      </c>
      <c r="F1205" s="2" t="s">
        <v>9</v>
      </c>
      <c r="G1205" s="2" t="s">
        <v>19</v>
      </c>
      <c r="H1205" s="2" t="s">
        <v>11</v>
      </c>
      <c r="I1205" s="2">
        <f t="shared" si="36"/>
        <v>224.22000000000003</v>
      </c>
      <c r="J1205" s="2">
        <f t="shared" si="37"/>
        <v>0.45022288261515608</v>
      </c>
    </row>
    <row r="1206" spans="1:10" x14ac:dyDescent="0.3">
      <c r="A1206" s="1">
        <v>45316</v>
      </c>
      <c r="B1206">
        <v>582.38</v>
      </c>
      <c r="C1206">
        <v>310.66000000000003</v>
      </c>
      <c r="D1206">
        <v>0</v>
      </c>
      <c r="E1206" s="2" t="s">
        <v>16</v>
      </c>
      <c r="F1206" s="2" t="s">
        <v>9</v>
      </c>
      <c r="G1206" s="2" t="s">
        <v>14</v>
      </c>
      <c r="H1206" s="2" t="s">
        <v>18</v>
      </c>
      <c r="I1206" s="2">
        <f t="shared" si="36"/>
        <v>271.71999999999997</v>
      </c>
      <c r="J1206" s="2">
        <f t="shared" si="37"/>
        <v>0.87465396253138461</v>
      </c>
    </row>
    <row r="1207" spans="1:10" x14ac:dyDescent="0.3">
      <c r="A1207" s="1">
        <v>45411</v>
      </c>
      <c r="B1207">
        <v>165.21</v>
      </c>
      <c r="C1207">
        <v>143.71</v>
      </c>
      <c r="D1207">
        <v>7</v>
      </c>
      <c r="E1207" s="2" t="s">
        <v>16</v>
      </c>
      <c r="F1207" s="2" t="s">
        <v>9</v>
      </c>
      <c r="G1207" s="2" t="s">
        <v>10</v>
      </c>
      <c r="H1207" s="2" t="s">
        <v>20</v>
      </c>
      <c r="I1207" s="2">
        <f t="shared" si="36"/>
        <v>21.5</v>
      </c>
      <c r="J1207" s="2">
        <f t="shared" si="37"/>
        <v>0.14960684712267761</v>
      </c>
    </row>
    <row r="1208" spans="1:10" x14ac:dyDescent="0.3">
      <c r="A1208" s="1">
        <v>45370</v>
      </c>
      <c r="B1208">
        <v>110.86</v>
      </c>
      <c r="C1208">
        <v>140.12</v>
      </c>
      <c r="D1208">
        <v>2</v>
      </c>
      <c r="E1208" s="2" t="s">
        <v>8</v>
      </c>
      <c r="F1208" s="2" t="s">
        <v>17</v>
      </c>
      <c r="G1208" s="2" t="s">
        <v>10</v>
      </c>
      <c r="H1208" s="2" t="s">
        <v>18</v>
      </c>
      <c r="I1208" s="2">
        <f t="shared" si="36"/>
        <v>-29.260000000000005</v>
      </c>
      <c r="J1208" s="2">
        <f t="shared" si="37"/>
        <v>-0.20882101056237515</v>
      </c>
    </row>
    <row r="1209" spans="1:10" x14ac:dyDescent="0.3">
      <c r="A1209" s="1">
        <v>45343</v>
      </c>
      <c r="B1209">
        <v>921.09</v>
      </c>
      <c r="C1209">
        <v>93.21</v>
      </c>
      <c r="D1209">
        <v>4</v>
      </c>
      <c r="E1209" s="2" t="s">
        <v>8</v>
      </c>
      <c r="F1209" s="2" t="s">
        <v>9</v>
      </c>
      <c r="G1209" s="2" t="s">
        <v>14</v>
      </c>
      <c r="H1209" s="2" t="s">
        <v>18</v>
      </c>
      <c r="I1209" s="2">
        <f t="shared" si="36"/>
        <v>827.88</v>
      </c>
      <c r="J1209" s="2">
        <f t="shared" si="37"/>
        <v>8.8818796266495017</v>
      </c>
    </row>
    <row r="1210" spans="1:10" x14ac:dyDescent="0.3">
      <c r="A1210" s="1">
        <v>45346</v>
      </c>
      <c r="B1210">
        <v>974.34</v>
      </c>
      <c r="C1210">
        <v>103.32</v>
      </c>
      <c r="D1210">
        <v>0</v>
      </c>
      <c r="E1210" s="2" t="s">
        <v>16</v>
      </c>
      <c r="F1210" s="2" t="s">
        <v>9</v>
      </c>
      <c r="G1210" s="2" t="s">
        <v>14</v>
      </c>
      <c r="H1210" s="2" t="s">
        <v>20</v>
      </c>
      <c r="I1210" s="2">
        <f t="shared" si="36"/>
        <v>871.02</v>
      </c>
      <c r="J1210" s="2">
        <f t="shared" si="37"/>
        <v>8.4303135888501739</v>
      </c>
    </row>
    <row r="1211" spans="1:10" x14ac:dyDescent="0.3">
      <c r="A1211" s="1">
        <v>45343</v>
      </c>
      <c r="B1211">
        <v>1367.09</v>
      </c>
      <c r="C1211">
        <v>187.33</v>
      </c>
      <c r="D1211">
        <v>0</v>
      </c>
      <c r="E1211" s="2" t="s">
        <v>13</v>
      </c>
      <c r="F1211" s="2" t="s">
        <v>9</v>
      </c>
      <c r="G1211" s="2" t="s">
        <v>10</v>
      </c>
      <c r="H1211" s="2" t="s">
        <v>20</v>
      </c>
      <c r="I1211" s="2">
        <f t="shared" si="36"/>
        <v>1179.76</v>
      </c>
      <c r="J1211" s="2">
        <f t="shared" si="37"/>
        <v>6.2977633053968924</v>
      </c>
    </row>
    <row r="1212" spans="1:10" x14ac:dyDescent="0.3">
      <c r="A1212" s="1">
        <v>45406</v>
      </c>
      <c r="B1212">
        <v>897.83</v>
      </c>
      <c r="C1212">
        <v>93.4</v>
      </c>
      <c r="D1212">
        <v>1</v>
      </c>
      <c r="E1212" s="2" t="s">
        <v>16</v>
      </c>
      <c r="F1212" s="2" t="s">
        <v>17</v>
      </c>
      <c r="G1212" s="2" t="s">
        <v>14</v>
      </c>
      <c r="H1212" s="2" t="s">
        <v>11</v>
      </c>
      <c r="I1212" s="2">
        <f t="shared" si="36"/>
        <v>804.43000000000006</v>
      </c>
      <c r="J1212" s="2">
        <f t="shared" si="37"/>
        <v>8.6127408993576022</v>
      </c>
    </row>
    <row r="1213" spans="1:10" x14ac:dyDescent="0.3">
      <c r="A1213" s="1">
        <v>45346</v>
      </c>
      <c r="B1213">
        <v>1109.27</v>
      </c>
      <c r="C1213">
        <v>407.1</v>
      </c>
      <c r="D1213">
        <v>6</v>
      </c>
      <c r="E1213" s="2" t="s">
        <v>13</v>
      </c>
      <c r="F1213" s="2" t="s">
        <v>17</v>
      </c>
      <c r="G1213" s="2" t="s">
        <v>14</v>
      </c>
      <c r="H1213" s="2" t="s">
        <v>15</v>
      </c>
      <c r="I1213" s="2">
        <f t="shared" si="36"/>
        <v>702.17</v>
      </c>
      <c r="J1213" s="2">
        <f t="shared" si="37"/>
        <v>1.7248096290837629</v>
      </c>
    </row>
    <row r="1214" spans="1:10" x14ac:dyDescent="0.3">
      <c r="A1214" s="1">
        <v>45310</v>
      </c>
      <c r="B1214">
        <v>570.02</v>
      </c>
      <c r="C1214">
        <v>44.5</v>
      </c>
      <c r="D1214">
        <v>6</v>
      </c>
      <c r="E1214" s="2" t="s">
        <v>16</v>
      </c>
      <c r="F1214" s="2" t="s">
        <v>17</v>
      </c>
      <c r="G1214" s="2" t="s">
        <v>14</v>
      </c>
      <c r="H1214" s="2" t="s">
        <v>20</v>
      </c>
      <c r="I1214" s="2">
        <f t="shared" si="36"/>
        <v>525.52</v>
      </c>
      <c r="J1214" s="2">
        <f t="shared" si="37"/>
        <v>11.80943820224719</v>
      </c>
    </row>
    <row r="1215" spans="1:10" x14ac:dyDescent="0.3">
      <c r="A1215" s="1">
        <v>45387</v>
      </c>
      <c r="B1215">
        <v>189.78</v>
      </c>
      <c r="C1215">
        <v>185.14</v>
      </c>
      <c r="D1215">
        <v>10</v>
      </c>
      <c r="E1215" s="2" t="s">
        <v>16</v>
      </c>
      <c r="F1215" s="2" t="s">
        <v>9</v>
      </c>
      <c r="G1215" s="2" t="s">
        <v>14</v>
      </c>
      <c r="H1215" s="2" t="s">
        <v>15</v>
      </c>
      <c r="I1215" s="2">
        <f t="shared" si="36"/>
        <v>4.6400000000000148</v>
      </c>
      <c r="J1215" s="2">
        <f t="shared" si="37"/>
        <v>2.5062115156098169E-2</v>
      </c>
    </row>
    <row r="1216" spans="1:10" x14ac:dyDescent="0.3">
      <c r="A1216" s="1">
        <v>45395</v>
      </c>
      <c r="B1216">
        <v>864.67</v>
      </c>
      <c r="C1216">
        <v>392.11</v>
      </c>
      <c r="D1216">
        <v>1</v>
      </c>
      <c r="E1216" s="2" t="s">
        <v>13</v>
      </c>
      <c r="F1216" s="2" t="s">
        <v>17</v>
      </c>
      <c r="G1216" s="2" t="s">
        <v>10</v>
      </c>
      <c r="H1216" s="2" t="s">
        <v>11</v>
      </c>
      <c r="I1216" s="2">
        <f t="shared" si="36"/>
        <v>472.55999999999995</v>
      </c>
      <c r="J1216" s="2">
        <f t="shared" si="37"/>
        <v>1.2051720180561576</v>
      </c>
    </row>
    <row r="1217" spans="1:10" x14ac:dyDescent="0.3">
      <c r="A1217" s="1">
        <v>45350</v>
      </c>
      <c r="B1217">
        <v>278.61</v>
      </c>
      <c r="C1217">
        <v>193.55</v>
      </c>
      <c r="D1217">
        <v>4</v>
      </c>
      <c r="E1217" s="2" t="s">
        <v>13</v>
      </c>
      <c r="F1217" s="2" t="s">
        <v>9</v>
      </c>
      <c r="G1217" s="2" t="s">
        <v>14</v>
      </c>
      <c r="H1217" s="2" t="s">
        <v>11</v>
      </c>
      <c r="I1217" s="2">
        <f t="shared" si="36"/>
        <v>85.06</v>
      </c>
      <c r="J1217" s="2">
        <f t="shared" si="37"/>
        <v>0.43947300439163006</v>
      </c>
    </row>
    <row r="1218" spans="1:10" x14ac:dyDescent="0.3">
      <c r="A1218" s="1">
        <v>45376</v>
      </c>
      <c r="B1218">
        <v>331.19</v>
      </c>
      <c r="C1218">
        <v>255.47</v>
      </c>
      <c r="D1218">
        <v>3</v>
      </c>
      <c r="E1218" s="2" t="s">
        <v>13</v>
      </c>
      <c r="F1218" s="2" t="s">
        <v>17</v>
      </c>
      <c r="G1218" s="2" t="s">
        <v>10</v>
      </c>
      <c r="H1218" s="2" t="s">
        <v>20</v>
      </c>
      <c r="I1218" s="2">
        <f t="shared" ref="I1218:I1281" si="38">B1218-C1218</f>
        <v>75.72</v>
      </c>
      <c r="J1218" s="2">
        <f t="shared" ref="J1218:J1281" si="39">IF(C1218=0,0,I1218/C1218)</f>
        <v>0.29639488002505188</v>
      </c>
    </row>
    <row r="1219" spans="1:10" x14ac:dyDescent="0.3">
      <c r="A1219" s="1">
        <v>45379</v>
      </c>
      <c r="B1219">
        <v>107.75</v>
      </c>
      <c r="C1219">
        <v>340.13</v>
      </c>
      <c r="D1219">
        <v>4</v>
      </c>
      <c r="E1219" s="2" t="s">
        <v>8</v>
      </c>
      <c r="F1219" s="2" t="s">
        <v>17</v>
      </c>
      <c r="G1219" s="2" t="s">
        <v>10</v>
      </c>
      <c r="H1219" s="2" t="s">
        <v>11</v>
      </c>
      <c r="I1219" s="2">
        <f t="shared" si="38"/>
        <v>-232.38</v>
      </c>
      <c r="J1219" s="2">
        <f t="shared" si="39"/>
        <v>-0.683209361126628</v>
      </c>
    </row>
    <row r="1220" spans="1:10" x14ac:dyDescent="0.3">
      <c r="A1220" s="1">
        <v>45386</v>
      </c>
      <c r="B1220">
        <v>1161.4100000000001</v>
      </c>
      <c r="C1220">
        <v>86.44</v>
      </c>
      <c r="D1220">
        <v>8</v>
      </c>
      <c r="E1220" s="2" t="s">
        <v>16</v>
      </c>
      <c r="F1220" s="2" t="s">
        <v>9</v>
      </c>
      <c r="G1220" s="2" t="s">
        <v>19</v>
      </c>
      <c r="H1220" s="2" t="s">
        <v>15</v>
      </c>
      <c r="I1220" s="2">
        <f t="shared" si="38"/>
        <v>1074.97</v>
      </c>
      <c r="J1220" s="2">
        <f t="shared" si="39"/>
        <v>12.436024988431283</v>
      </c>
    </row>
    <row r="1221" spans="1:10" x14ac:dyDescent="0.3">
      <c r="A1221" s="1">
        <v>45358</v>
      </c>
      <c r="B1221">
        <v>120.65</v>
      </c>
      <c r="C1221">
        <v>36.79</v>
      </c>
      <c r="D1221">
        <v>8</v>
      </c>
      <c r="E1221" s="2" t="s">
        <v>16</v>
      </c>
      <c r="F1221" s="2" t="s">
        <v>17</v>
      </c>
      <c r="G1221" s="2" t="s">
        <v>14</v>
      </c>
      <c r="H1221" s="2" t="s">
        <v>11</v>
      </c>
      <c r="I1221" s="2">
        <f t="shared" si="38"/>
        <v>83.860000000000014</v>
      </c>
      <c r="J1221" s="2">
        <f t="shared" si="39"/>
        <v>2.2794237564555591</v>
      </c>
    </row>
    <row r="1222" spans="1:10" x14ac:dyDescent="0.3">
      <c r="A1222" s="1">
        <v>45368</v>
      </c>
      <c r="B1222">
        <v>125.3</v>
      </c>
      <c r="C1222">
        <v>201.89</v>
      </c>
      <c r="D1222">
        <v>10</v>
      </c>
      <c r="E1222" s="2" t="s">
        <v>13</v>
      </c>
      <c r="F1222" s="2" t="s">
        <v>17</v>
      </c>
      <c r="G1222" s="2" t="s">
        <v>14</v>
      </c>
      <c r="H1222" s="2" t="s">
        <v>20</v>
      </c>
      <c r="I1222" s="2">
        <f t="shared" si="38"/>
        <v>-76.589999999999989</v>
      </c>
      <c r="J1222" s="2">
        <f t="shared" si="39"/>
        <v>-0.3793650007429788</v>
      </c>
    </row>
    <row r="1223" spans="1:10" x14ac:dyDescent="0.3">
      <c r="A1223" s="1">
        <v>45378</v>
      </c>
      <c r="B1223">
        <v>786.58</v>
      </c>
      <c r="C1223">
        <v>93.14</v>
      </c>
      <c r="D1223">
        <v>3</v>
      </c>
      <c r="E1223" s="2" t="s">
        <v>13</v>
      </c>
      <c r="F1223" s="2" t="s">
        <v>9</v>
      </c>
      <c r="G1223" s="2" t="s">
        <v>12</v>
      </c>
      <c r="H1223" s="2" t="s">
        <v>15</v>
      </c>
      <c r="I1223" s="2">
        <f t="shared" si="38"/>
        <v>693.44</v>
      </c>
      <c r="J1223" s="2">
        <f t="shared" si="39"/>
        <v>7.4451363538758866</v>
      </c>
    </row>
    <row r="1224" spans="1:10" x14ac:dyDescent="0.3">
      <c r="A1224" s="1">
        <v>45354</v>
      </c>
      <c r="B1224">
        <v>959.65</v>
      </c>
      <c r="C1224">
        <v>225.56</v>
      </c>
      <c r="D1224">
        <v>5</v>
      </c>
      <c r="E1224" s="2" t="s">
        <v>8</v>
      </c>
      <c r="F1224" s="2" t="s">
        <v>9</v>
      </c>
      <c r="G1224" s="2" t="s">
        <v>19</v>
      </c>
      <c r="H1224" s="2" t="s">
        <v>18</v>
      </c>
      <c r="I1224" s="2">
        <f t="shared" si="38"/>
        <v>734.08999999999992</v>
      </c>
      <c r="J1224" s="2">
        <f t="shared" si="39"/>
        <v>3.2545220783826916</v>
      </c>
    </row>
    <row r="1225" spans="1:10" x14ac:dyDescent="0.3">
      <c r="A1225" s="1">
        <v>45311</v>
      </c>
      <c r="B1225">
        <v>1252.8699999999999</v>
      </c>
      <c r="C1225">
        <v>230.69</v>
      </c>
      <c r="D1225">
        <v>3</v>
      </c>
      <c r="E1225" s="2" t="s">
        <v>16</v>
      </c>
      <c r="F1225" s="2" t="s">
        <v>9</v>
      </c>
      <c r="G1225" s="2" t="s">
        <v>19</v>
      </c>
      <c r="H1225" s="2" t="s">
        <v>11</v>
      </c>
      <c r="I1225" s="2">
        <f t="shared" si="38"/>
        <v>1022.1799999999998</v>
      </c>
      <c r="J1225" s="2">
        <f t="shared" si="39"/>
        <v>4.4309679656682119</v>
      </c>
    </row>
    <row r="1226" spans="1:10" x14ac:dyDescent="0.3">
      <c r="A1226" s="1">
        <v>45377</v>
      </c>
      <c r="B1226">
        <v>1147.6099999999999</v>
      </c>
      <c r="C1226">
        <v>381.39</v>
      </c>
      <c r="D1226">
        <v>10</v>
      </c>
      <c r="E1226" s="2" t="s">
        <v>13</v>
      </c>
      <c r="F1226" s="2" t="s">
        <v>17</v>
      </c>
      <c r="G1226" s="2" t="s">
        <v>14</v>
      </c>
      <c r="H1226" s="2" t="s">
        <v>11</v>
      </c>
      <c r="I1226" s="2">
        <f t="shared" si="38"/>
        <v>766.21999999999991</v>
      </c>
      <c r="J1226" s="2">
        <f t="shared" si="39"/>
        <v>2.0090196386900545</v>
      </c>
    </row>
    <row r="1227" spans="1:10" x14ac:dyDescent="0.3">
      <c r="A1227" s="1">
        <v>45343</v>
      </c>
      <c r="B1227">
        <v>219.14</v>
      </c>
      <c r="C1227">
        <v>131.94</v>
      </c>
      <c r="D1227">
        <v>6</v>
      </c>
      <c r="E1227" s="2" t="s">
        <v>16</v>
      </c>
      <c r="F1227" s="2" t="s">
        <v>9</v>
      </c>
      <c r="G1227" s="2" t="s">
        <v>14</v>
      </c>
      <c r="H1227" s="2" t="s">
        <v>18</v>
      </c>
      <c r="I1227" s="2">
        <f t="shared" si="38"/>
        <v>87.199999999999989</v>
      </c>
      <c r="J1227" s="2">
        <f t="shared" si="39"/>
        <v>0.66090647263907831</v>
      </c>
    </row>
    <row r="1228" spans="1:10" x14ac:dyDescent="0.3">
      <c r="A1228" s="1">
        <v>45370</v>
      </c>
      <c r="B1228">
        <v>778.37</v>
      </c>
      <c r="C1228">
        <v>413.1</v>
      </c>
      <c r="D1228">
        <v>8</v>
      </c>
      <c r="E1228" s="2" t="s">
        <v>16</v>
      </c>
      <c r="F1228" s="2" t="s">
        <v>9</v>
      </c>
      <c r="G1228" s="2" t="s">
        <v>14</v>
      </c>
      <c r="H1228" s="2" t="s">
        <v>18</v>
      </c>
      <c r="I1228" s="2">
        <f t="shared" si="38"/>
        <v>365.27</v>
      </c>
      <c r="J1228" s="2">
        <f t="shared" si="39"/>
        <v>0.8842168966351972</v>
      </c>
    </row>
    <row r="1229" spans="1:10" x14ac:dyDescent="0.3">
      <c r="A1229" s="1">
        <v>45297</v>
      </c>
      <c r="B1229">
        <v>1380.01</v>
      </c>
      <c r="C1229">
        <v>346.7</v>
      </c>
      <c r="D1229">
        <v>9</v>
      </c>
      <c r="E1229" s="2" t="s">
        <v>13</v>
      </c>
      <c r="F1229" s="2" t="s">
        <v>9</v>
      </c>
      <c r="G1229" s="2" t="s">
        <v>19</v>
      </c>
      <c r="H1229" s="2" t="s">
        <v>20</v>
      </c>
      <c r="I1229" s="2">
        <f t="shared" si="38"/>
        <v>1033.31</v>
      </c>
      <c r="J1229" s="2">
        <f t="shared" si="39"/>
        <v>2.9804153446783963</v>
      </c>
    </row>
    <row r="1230" spans="1:10" x14ac:dyDescent="0.3">
      <c r="A1230" s="1">
        <v>45312</v>
      </c>
      <c r="B1230">
        <v>900.28</v>
      </c>
      <c r="C1230">
        <v>337.24</v>
      </c>
      <c r="D1230">
        <v>7</v>
      </c>
      <c r="E1230" s="2" t="s">
        <v>13</v>
      </c>
      <c r="F1230" s="2" t="s">
        <v>9</v>
      </c>
      <c r="G1230" s="2" t="s">
        <v>10</v>
      </c>
      <c r="H1230" s="2" t="s">
        <v>15</v>
      </c>
      <c r="I1230" s="2">
        <f t="shared" si="38"/>
        <v>563.04</v>
      </c>
      <c r="J1230" s="2">
        <f t="shared" si="39"/>
        <v>1.6695528407069149</v>
      </c>
    </row>
    <row r="1231" spans="1:10" x14ac:dyDescent="0.3">
      <c r="A1231" s="1">
        <v>45311</v>
      </c>
      <c r="B1231">
        <v>68.97</v>
      </c>
      <c r="C1231">
        <v>369.25</v>
      </c>
      <c r="D1231">
        <v>7</v>
      </c>
      <c r="E1231" s="2" t="s">
        <v>8</v>
      </c>
      <c r="F1231" s="2" t="s">
        <v>9</v>
      </c>
      <c r="G1231" s="2" t="s">
        <v>10</v>
      </c>
      <c r="H1231" s="2" t="s">
        <v>18</v>
      </c>
      <c r="I1231" s="2">
        <f t="shared" si="38"/>
        <v>-300.27999999999997</v>
      </c>
      <c r="J1231" s="2">
        <f t="shared" si="39"/>
        <v>-0.81321597833446169</v>
      </c>
    </row>
    <row r="1232" spans="1:10" x14ac:dyDescent="0.3">
      <c r="A1232" s="1">
        <v>45344</v>
      </c>
      <c r="B1232">
        <v>512.04999999999995</v>
      </c>
      <c r="C1232">
        <v>257.89999999999998</v>
      </c>
      <c r="D1232">
        <v>8</v>
      </c>
      <c r="E1232" s="2" t="s">
        <v>13</v>
      </c>
      <c r="F1232" s="2" t="s">
        <v>9</v>
      </c>
      <c r="G1232" s="2" t="s">
        <v>19</v>
      </c>
      <c r="H1232" s="2" t="s">
        <v>15</v>
      </c>
      <c r="I1232" s="2">
        <f t="shared" si="38"/>
        <v>254.14999999999998</v>
      </c>
      <c r="J1232" s="2">
        <f t="shared" si="39"/>
        <v>0.98545948041876696</v>
      </c>
    </row>
    <row r="1233" spans="1:10" x14ac:dyDescent="0.3">
      <c r="A1233" s="1">
        <v>45361</v>
      </c>
      <c r="B1233">
        <v>721.07</v>
      </c>
      <c r="C1233">
        <v>224.68</v>
      </c>
      <c r="D1233">
        <v>3</v>
      </c>
      <c r="E1233" s="2" t="s">
        <v>13</v>
      </c>
      <c r="F1233" s="2" t="s">
        <v>9</v>
      </c>
      <c r="G1233" s="2" t="s">
        <v>12</v>
      </c>
      <c r="H1233" s="2" t="s">
        <v>20</v>
      </c>
      <c r="I1233" s="2">
        <f t="shared" si="38"/>
        <v>496.39000000000004</v>
      </c>
      <c r="J1233" s="2">
        <f t="shared" si="39"/>
        <v>2.2093199216663701</v>
      </c>
    </row>
    <row r="1234" spans="1:10" x14ac:dyDescent="0.3">
      <c r="A1234" s="1">
        <v>45353</v>
      </c>
      <c r="B1234">
        <v>1111.7</v>
      </c>
      <c r="C1234">
        <v>206.17</v>
      </c>
      <c r="D1234">
        <v>2</v>
      </c>
      <c r="E1234" s="2" t="s">
        <v>8</v>
      </c>
      <c r="F1234" s="2" t="s">
        <v>17</v>
      </c>
      <c r="G1234" s="2" t="s">
        <v>14</v>
      </c>
      <c r="H1234" s="2" t="s">
        <v>20</v>
      </c>
      <c r="I1234" s="2">
        <f t="shared" si="38"/>
        <v>905.53000000000009</v>
      </c>
      <c r="J1234" s="2">
        <f t="shared" si="39"/>
        <v>4.3921521074841161</v>
      </c>
    </row>
    <row r="1235" spans="1:10" x14ac:dyDescent="0.3">
      <c r="A1235" s="1">
        <v>45314</v>
      </c>
      <c r="B1235">
        <v>513.79999999999995</v>
      </c>
      <c r="C1235">
        <v>242.97</v>
      </c>
      <c r="D1235">
        <v>9</v>
      </c>
      <c r="E1235" s="2" t="s">
        <v>13</v>
      </c>
      <c r="F1235" s="2" t="s">
        <v>17</v>
      </c>
      <c r="G1235" s="2" t="s">
        <v>12</v>
      </c>
      <c r="H1235" s="2" t="s">
        <v>15</v>
      </c>
      <c r="I1235" s="2">
        <f t="shared" si="38"/>
        <v>270.82999999999993</v>
      </c>
      <c r="J1235" s="2">
        <f t="shared" si="39"/>
        <v>1.1146643618553729</v>
      </c>
    </row>
    <row r="1236" spans="1:10" x14ac:dyDescent="0.3">
      <c r="A1236" s="1">
        <v>45321</v>
      </c>
      <c r="B1236">
        <v>620.51</v>
      </c>
      <c r="C1236">
        <v>498.43</v>
      </c>
      <c r="D1236">
        <v>3</v>
      </c>
      <c r="E1236" s="2" t="s">
        <v>8</v>
      </c>
      <c r="F1236" s="2" t="s">
        <v>17</v>
      </c>
      <c r="G1236" s="2" t="s">
        <v>19</v>
      </c>
      <c r="H1236" s="2" t="s">
        <v>15</v>
      </c>
      <c r="I1236" s="2">
        <f t="shared" si="38"/>
        <v>122.07999999999998</v>
      </c>
      <c r="J1236" s="2">
        <f t="shared" si="39"/>
        <v>0.24492907730273053</v>
      </c>
    </row>
    <row r="1237" spans="1:10" x14ac:dyDescent="0.3">
      <c r="A1237" s="1">
        <v>45333</v>
      </c>
      <c r="B1237">
        <v>762.31</v>
      </c>
      <c r="C1237">
        <v>101.63</v>
      </c>
      <c r="D1237">
        <v>3</v>
      </c>
      <c r="E1237" s="2" t="s">
        <v>13</v>
      </c>
      <c r="F1237" s="2" t="s">
        <v>17</v>
      </c>
      <c r="G1237" s="2" t="s">
        <v>10</v>
      </c>
      <c r="H1237" s="2" t="s">
        <v>18</v>
      </c>
      <c r="I1237" s="2">
        <f t="shared" si="38"/>
        <v>660.68</v>
      </c>
      <c r="J1237" s="2">
        <f t="shared" si="39"/>
        <v>6.5008363672144052</v>
      </c>
    </row>
    <row r="1238" spans="1:10" x14ac:dyDescent="0.3">
      <c r="A1238" s="1">
        <v>45336</v>
      </c>
      <c r="B1238">
        <v>1417.8</v>
      </c>
      <c r="C1238">
        <v>101.35</v>
      </c>
      <c r="D1238">
        <v>6</v>
      </c>
      <c r="E1238" s="2" t="s">
        <v>16</v>
      </c>
      <c r="F1238" s="2" t="s">
        <v>9</v>
      </c>
      <c r="G1238" s="2" t="s">
        <v>14</v>
      </c>
      <c r="H1238" s="2" t="s">
        <v>18</v>
      </c>
      <c r="I1238" s="2">
        <f t="shared" si="38"/>
        <v>1316.45</v>
      </c>
      <c r="J1238" s="2">
        <f t="shared" si="39"/>
        <v>12.989146521953627</v>
      </c>
    </row>
    <row r="1239" spans="1:10" x14ac:dyDescent="0.3">
      <c r="A1239" s="1">
        <v>45307</v>
      </c>
      <c r="B1239">
        <v>1337.51</v>
      </c>
      <c r="C1239">
        <v>385.99</v>
      </c>
      <c r="D1239">
        <v>9</v>
      </c>
      <c r="E1239" s="2" t="s">
        <v>16</v>
      </c>
      <c r="F1239" s="2" t="s">
        <v>9</v>
      </c>
      <c r="G1239" s="2" t="s">
        <v>14</v>
      </c>
      <c r="H1239" s="2" t="s">
        <v>11</v>
      </c>
      <c r="I1239" s="2">
        <f t="shared" si="38"/>
        <v>951.52</v>
      </c>
      <c r="J1239" s="2">
        <f t="shared" si="39"/>
        <v>2.4651415839788595</v>
      </c>
    </row>
    <row r="1240" spans="1:10" x14ac:dyDescent="0.3">
      <c r="A1240" s="1">
        <v>45368</v>
      </c>
      <c r="B1240">
        <v>1020.68</v>
      </c>
      <c r="C1240">
        <v>208.93</v>
      </c>
      <c r="D1240">
        <v>2</v>
      </c>
      <c r="E1240" s="2" t="s">
        <v>13</v>
      </c>
      <c r="F1240" s="2" t="s">
        <v>17</v>
      </c>
      <c r="G1240" s="2" t="s">
        <v>14</v>
      </c>
      <c r="H1240" s="2" t="s">
        <v>20</v>
      </c>
      <c r="I1240" s="2">
        <f t="shared" si="38"/>
        <v>811.75</v>
      </c>
      <c r="J1240" s="2">
        <f t="shared" si="39"/>
        <v>3.8852725793327907</v>
      </c>
    </row>
    <row r="1241" spans="1:10" x14ac:dyDescent="0.3">
      <c r="A1241" s="1">
        <v>45356</v>
      </c>
      <c r="B1241">
        <v>463.45</v>
      </c>
      <c r="C1241">
        <v>64.83</v>
      </c>
      <c r="D1241">
        <v>10</v>
      </c>
      <c r="E1241" s="2" t="s">
        <v>8</v>
      </c>
      <c r="F1241" s="2" t="s">
        <v>17</v>
      </c>
      <c r="G1241" s="2" t="s">
        <v>19</v>
      </c>
      <c r="H1241" s="2" t="s">
        <v>18</v>
      </c>
      <c r="I1241" s="2">
        <f t="shared" si="38"/>
        <v>398.62</v>
      </c>
      <c r="J1241" s="2">
        <f t="shared" si="39"/>
        <v>6.1486965910843745</v>
      </c>
    </row>
    <row r="1242" spans="1:10" x14ac:dyDescent="0.3">
      <c r="A1242" s="1">
        <v>45373</v>
      </c>
      <c r="B1242">
        <v>943.08</v>
      </c>
      <c r="C1242">
        <v>406.36</v>
      </c>
      <c r="D1242">
        <v>9</v>
      </c>
      <c r="E1242" s="2" t="s">
        <v>16</v>
      </c>
      <c r="F1242" s="2" t="s">
        <v>9</v>
      </c>
      <c r="G1242" s="2" t="s">
        <v>10</v>
      </c>
      <c r="H1242" s="2" t="s">
        <v>15</v>
      </c>
      <c r="I1242" s="2">
        <f t="shared" si="38"/>
        <v>536.72</v>
      </c>
      <c r="J1242" s="2">
        <f t="shared" si="39"/>
        <v>1.3207992912688258</v>
      </c>
    </row>
    <row r="1243" spans="1:10" x14ac:dyDescent="0.3">
      <c r="A1243" s="1">
        <v>45375</v>
      </c>
      <c r="B1243">
        <v>1309.22</v>
      </c>
      <c r="C1243">
        <v>406.76</v>
      </c>
      <c r="D1243">
        <v>5</v>
      </c>
      <c r="E1243" s="2" t="s">
        <v>16</v>
      </c>
      <c r="F1243" s="2" t="s">
        <v>17</v>
      </c>
      <c r="G1243" s="2" t="s">
        <v>12</v>
      </c>
      <c r="H1243" s="2" t="s">
        <v>11</v>
      </c>
      <c r="I1243" s="2">
        <f t="shared" si="38"/>
        <v>902.46</v>
      </c>
      <c r="J1243" s="2">
        <f t="shared" si="39"/>
        <v>2.2186547349788572</v>
      </c>
    </row>
    <row r="1244" spans="1:10" x14ac:dyDescent="0.3">
      <c r="A1244" s="1">
        <v>45387</v>
      </c>
      <c r="B1244">
        <v>1282.1600000000001</v>
      </c>
      <c r="C1244">
        <v>291.37</v>
      </c>
      <c r="D1244">
        <v>7</v>
      </c>
      <c r="E1244" s="2" t="s">
        <v>13</v>
      </c>
      <c r="F1244" s="2" t="s">
        <v>17</v>
      </c>
      <c r="G1244" s="2" t="s">
        <v>10</v>
      </c>
      <c r="H1244" s="2" t="s">
        <v>11</v>
      </c>
      <c r="I1244" s="2">
        <f t="shared" si="38"/>
        <v>990.79000000000008</v>
      </c>
      <c r="J1244" s="2">
        <f t="shared" si="39"/>
        <v>3.4004530322270656</v>
      </c>
    </row>
    <row r="1245" spans="1:10" x14ac:dyDescent="0.3">
      <c r="A1245" s="1">
        <v>45319</v>
      </c>
      <c r="B1245">
        <v>241.78</v>
      </c>
      <c r="C1245">
        <v>357.03</v>
      </c>
      <c r="D1245">
        <v>4</v>
      </c>
      <c r="E1245" s="2" t="s">
        <v>13</v>
      </c>
      <c r="F1245" s="2" t="s">
        <v>17</v>
      </c>
      <c r="G1245" s="2" t="s">
        <v>14</v>
      </c>
      <c r="H1245" s="2" t="s">
        <v>20</v>
      </c>
      <c r="I1245" s="2">
        <f t="shared" si="38"/>
        <v>-115.24999999999997</v>
      </c>
      <c r="J1245" s="2">
        <f t="shared" si="39"/>
        <v>-0.32280200543371701</v>
      </c>
    </row>
    <row r="1246" spans="1:10" x14ac:dyDescent="0.3">
      <c r="A1246" s="1">
        <v>45394</v>
      </c>
      <c r="B1246">
        <v>1126.2</v>
      </c>
      <c r="C1246">
        <v>43.63</v>
      </c>
      <c r="D1246">
        <v>5</v>
      </c>
      <c r="E1246" s="2" t="s">
        <v>8</v>
      </c>
      <c r="F1246" s="2" t="s">
        <v>17</v>
      </c>
      <c r="G1246" s="2" t="s">
        <v>12</v>
      </c>
      <c r="H1246" s="2" t="s">
        <v>11</v>
      </c>
      <c r="I1246" s="2">
        <f t="shared" si="38"/>
        <v>1082.57</v>
      </c>
      <c r="J1246" s="2">
        <f t="shared" si="39"/>
        <v>24.812514325005726</v>
      </c>
    </row>
    <row r="1247" spans="1:10" x14ac:dyDescent="0.3">
      <c r="A1247" s="1">
        <v>45352</v>
      </c>
      <c r="B1247">
        <v>1406.35</v>
      </c>
      <c r="C1247">
        <v>272.64999999999998</v>
      </c>
      <c r="D1247">
        <v>6</v>
      </c>
      <c r="E1247" s="2" t="s">
        <v>16</v>
      </c>
      <c r="F1247" s="2" t="s">
        <v>9</v>
      </c>
      <c r="G1247" s="2" t="s">
        <v>10</v>
      </c>
      <c r="H1247" s="2" t="s">
        <v>20</v>
      </c>
      <c r="I1247" s="2">
        <f t="shared" si="38"/>
        <v>1133.6999999999998</v>
      </c>
      <c r="J1247" s="2">
        <f t="shared" si="39"/>
        <v>4.1580781221346044</v>
      </c>
    </row>
    <row r="1248" spans="1:10" x14ac:dyDescent="0.3">
      <c r="A1248" s="1">
        <v>45374</v>
      </c>
      <c r="B1248">
        <v>1467.08</v>
      </c>
      <c r="C1248">
        <v>463.04</v>
      </c>
      <c r="D1248">
        <v>4</v>
      </c>
      <c r="E1248" s="2" t="s">
        <v>16</v>
      </c>
      <c r="F1248" s="2" t="s">
        <v>17</v>
      </c>
      <c r="G1248" s="2" t="s">
        <v>14</v>
      </c>
      <c r="H1248" s="2" t="s">
        <v>20</v>
      </c>
      <c r="I1248" s="2">
        <f t="shared" si="38"/>
        <v>1004.04</v>
      </c>
      <c r="J1248" s="2">
        <f t="shared" si="39"/>
        <v>2.1683655839668279</v>
      </c>
    </row>
    <row r="1249" spans="1:10" x14ac:dyDescent="0.3">
      <c r="A1249" s="1">
        <v>45311</v>
      </c>
      <c r="B1249">
        <v>496.58</v>
      </c>
      <c r="C1249">
        <v>273.19</v>
      </c>
      <c r="D1249">
        <v>10</v>
      </c>
      <c r="E1249" s="2" t="s">
        <v>13</v>
      </c>
      <c r="F1249" s="2" t="s">
        <v>17</v>
      </c>
      <c r="G1249" s="2" t="s">
        <v>19</v>
      </c>
      <c r="H1249" s="2" t="s">
        <v>18</v>
      </c>
      <c r="I1249" s="2">
        <f t="shared" si="38"/>
        <v>223.39</v>
      </c>
      <c r="J1249" s="2">
        <f t="shared" si="39"/>
        <v>0.81770928657710751</v>
      </c>
    </row>
    <row r="1250" spans="1:10" x14ac:dyDescent="0.3">
      <c r="A1250" s="1">
        <v>45311</v>
      </c>
      <c r="B1250">
        <v>299.92</v>
      </c>
      <c r="C1250">
        <v>229.66</v>
      </c>
      <c r="D1250">
        <v>0</v>
      </c>
      <c r="E1250" s="2" t="s">
        <v>13</v>
      </c>
      <c r="F1250" s="2" t="s">
        <v>9</v>
      </c>
      <c r="G1250" s="2" t="s">
        <v>19</v>
      </c>
      <c r="H1250" s="2" t="s">
        <v>11</v>
      </c>
      <c r="I1250" s="2">
        <f t="shared" si="38"/>
        <v>70.260000000000019</v>
      </c>
      <c r="J1250" s="2">
        <f t="shared" si="39"/>
        <v>0.30593050596534016</v>
      </c>
    </row>
    <row r="1251" spans="1:10" x14ac:dyDescent="0.3">
      <c r="A1251" s="1">
        <v>45337</v>
      </c>
      <c r="B1251">
        <v>134.69999999999999</v>
      </c>
      <c r="C1251">
        <v>266.94</v>
      </c>
      <c r="D1251">
        <v>10</v>
      </c>
      <c r="E1251" s="2" t="s">
        <v>13</v>
      </c>
      <c r="F1251" s="2" t="s">
        <v>9</v>
      </c>
      <c r="G1251" s="2" t="s">
        <v>19</v>
      </c>
      <c r="H1251" s="2" t="s">
        <v>20</v>
      </c>
      <c r="I1251" s="2">
        <f t="shared" si="38"/>
        <v>-132.24</v>
      </c>
      <c r="J1251" s="2">
        <f t="shared" si="39"/>
        <v>-0.4953922229714543</v>
      </c>
    </row>
    <row r="1252" spans="1:10" x14ac:dyDescent="0.3">
      <c r="A1252" s="1">
        <v>45391</v>
      </c>
      <c r="B1252">
        <v>1122.1099999999999</v>
      </c>
      <c r="C1252">
        <v>53.05</v>
      </c>
      <c r="D1252">
        <v>8</v>
      </c>
      <c r="E1252" s="2" t="s">
        <v>13</v>
      </c>
      <c r="F1252" s="2" t="s">
        <v>9</v>
      </c>
      <c r="G1252" s="2" t="s">
        <v>10</v>
      </c>
      <c r="H1252" s="2" t="s">
        <v>11</v>
      </c>
      <c r="I1252" s="2">
        <f t="shared" si="38"/>
        <v>1069.06</v>
      </c>
      <c r="J1252" s="2">
        <f t="shared" si="39"/>
        <v>20.151932139491045</v>
      </c>
    </row>
    <row r="1253" spans="1:10" x14ac:dyDescent="0.3">
      <c r="A1253" s="1">
        <v>45370</v>
      </c>
      <c r="B1253">
        <v>380.43</v>
      </c>
      <c r="C1253">
        <v>196.62</v>
      </c>
      <c r="D1253">
        <v>5</v>
      </c>
      <c r="E1253" s="2" t="s">
        <v>13</v>
      </c>
      <c r="F1253" s="2" t="s">
        <v>9</v>
      </c>
      <c r="G1253" s="2" t="s">
        <v>19</v>
      </c>
      <c r="H1253" s="2" t="s">
        <v>11</v>
      </c>
      <c r="I1253" s="2">
        <f t="shared" si="38"/>
        <v>183.81</v>
      </c>
      <c r="J1253" s="2">
        <f t="shared" si="39"/>
        <v>0.93484894720781198</v>
      </c>
    </row>
    <row r="1254" spans="1:10" x14ac:dyDescent="0.3">
      <c r="A1254" s="1">
        <v>45341</v>
      </c>
      <c r="B1254">
        <v>1156.8</v>
      </c>
      <c r="C1254">
        <v>444.41</v>
      </c>
      <c r="D1254">
        <v>7</v>
      </c>
      <c r="E1254" s="2" t="s">
        <v>16</v>
      </c>
      <c r="F1254" s="2" t="s">
        <v>9</v>
      </c>
      <c r="G1254" s="2" t="s">
        <v>12</v>
      </c>
      <c r="H1254" s="2" t="s">
        <v>18</v>
      </c>
      <c r="I1254" s="2">
        <f t="shared" si="38"/>
        <v>712.38999999999987</v>
      </c>
      <c r="J1254" s="2">
        <f t="shared" si="39"/>
        <v>1.6030017326342787</v>
      </c>
    </row>
    <row r="1255" spans="1:10" x14ac:dyDescent="0.3">
      <c r="A1255" s="1">
        <v>45362</v>
      </c>
      <c r="B1255">
        <v>964.18</v>
      </c>
      <c r="C1255">
        <v>226.26</v>
      </c>
      <c r="D1255">
        <v>9</v>
      </c>
      <c r="E1255" s="2" t="s">
        <v>16</v>
      </c>
      <c r="F1255" s="2" t="s">
        <v>9</v>
      </c>
      <c r="G1255" s="2" t="s">
        <v>14</v>
      </c>
      <c r="H1255" s="2" t="s">
        <v>18</v>
      </c>
      <c r="I1255" s="2">
        <f t="shared" si="38"/>
        <v>737.92</v>
      </c>
      <c r="J1255" s="2">
        <f t="shared" si="39"/>
        <v>3.2613807124546983</v>
      </c>
    </row>
    <row r="1256" spans="1:10" x14ac:dyDescent="0.3">
      <c r="A1256" s="1">
        <v>45377</v>
      </c>
      <c r="B1256">
        <v>485.99</v>
      </c>
      <c r="C1256">
        <v>237.8</v>
      </c>
      <c r="D1256">
        <v>9</v>
      </c>
      <c r="E1256" s="2" t="s">
        <v>13</v>
      </c>
      <c r="F1256" s="2" t="s">
        <v>9</v>
      </c>
      <c r="G1256" s="2" t="s">
        <v>14</v>
      </c>
      <c r="H1256" s="2" t="s">
        <v>15</v>
      </c>
      <c r="I1256" s="2">
        <f t="shared" si="38"/>
        <v>248.19</v>
      </c>
      <c r="J1256" s="2">
        <f t="shared" si="39"/>
        <v>1.0436921783010933</v>
      </c>
    </row>
    <row r="1257" spans="1:10" x14ac:dyDescent="0.3">
      <c r="A1257" s="1">
        <v>45386</v>
      </c>
      <c r="B1257">
        <v>968.24</v>
      </c>
      <c r="C1257">
        <v>425.6</v>
      </c>
      <c r="D1257">
        <v>7</v>
      </c>
      <c r="E1257" s="2" t="s">
        <v>13</v>
      </c>
      <c r="F1257" s="2" t="s">
        <v>17</v>
      </c>
      <c r="G1257" s="2" t="s">
        <v>14</v>
      </c>
      <c r="H1257" s="2" t="s">
        <v>18</v>
      </c>
      <c r="I1257" s="2">
        <f t="shared" si="38"/>
        <v>542.64</v>
      </c>
      <c r="J1257" s="2">
        <f t="shared" si="39"/>
        <v>1.2749999999999999</v>
      </c>
    </row>
    <row r="1258" spans="1:10" x14ac:dyDescent="0.3">
      <c r="A1258" s="1">
        <v>45412</v>
      </c>
      <c r="B1258">
        <v>963.47</v>
      </c>
      <c r="C1258">
        <v>275.62</v>
      </c>
      <c r="D1258">
        <v>0</v>
      </c>
      <c r="E1258" s="2" t="s">
        <v>16</v>
      </c>
      <c r="F1258" s="2" t="s">
        <v>17</v>
      </c>
      <c r="G1258" s="2" t="s">
        <v>10</v>
      </c>
      <c r="H1258" s="2" t="s">
        <v>18</v>
      </c>
      <c r="I1258" s="2">
        <f t="shared" si="38"/>
        <v>687.85</v>
      </c>
      <c r="J1258" s="2">
        <f t="shared" si="39"/>
        <v>2.4956461795225309</v>
      </c>
    </row>
    <row r="1259" spans="1:10" x14ac:dyDescent="0.3">
      <c r="A1259" s="1">
        <v>45320</v>
      </c>
      <c r="B1259">
        <v>1227.27</v>
      </c>
      <c r="C1259">
        <v>242.19</v>
      </c>
      <c r="D1259">
        <v>3</v>
      </c>
      <c r="E1259" s="2" t="s">
        <v>8</v>
      </c>
      <c r="F1259" s="2" t="s">
        <v>9</v>
      </c>
      <c r="G1259" s="2" t="s">
        <v>14</v>
      </c>
      <c r="H1259" s="2" t="s">
        <v>20</v>
      </c>
      <c r="I1259" s="2">
        <f t="shared" si="38"/>
        <v>985.07999999999993</v>
      </c>
      <c r="J1259" s="2">
        <f t="shared" si="39"/>
        <v>4.0673851108633716</v>
      </c>
    </row>
    <row r="1260" spans="1:10" x14ac:dyDescent="0.3">
      <c r="A1260" s="1">
        <v>45372</v>
      </c>
      <c r="B1260">
        <v>1373.39</v>
      </c>
      <c r="C1260">
        <v>191.91</v>
      </c>
      <c r="D1260">
        <v>3</v>
      </c>
      <c r="E1260" s="2" t="s">
        <v>16</v>
      </c>
      <c r="F1260" s="2" t="s">
        <v>17</v>
      </c>
      <c r="G1260" s="2" t="s">
        <v>19</v>
      </c>
      <c r="H1260" s="2" t="s">
        <v>18</v>
      </c>
      <c r="I1260" s="2">
        <f t="shared" si="38"/>
        <v>1181.48</v>
      </c>
      <c r="J1260" s="2">
        <f t="shared" si="39"/>
        <v>6.1564274920535667</v>
      </c>
    </row>
    <row r="1261" spans="1:10" x14ac:dyDescent="0.3">
      <c r="A1261" s="1">
        <v>45320</v>
      </c>
      <c r="B1261">
        <v>527.37</v>
      </c>
      <c r="C1261">
        <v>171.16</v>
      </c>
      <c r="D1261">
        <v>8</v>
      </c>
      <c r="E1261" s="2" t="s">
        <v>8</v>
      </c>
      <c r="F1261" s="2" t="s">
        <v>17</v>
      </c>
      <c r="G1261" s="2" t="s">
        <v>14</v>
      </c>
      <c r="H1261" s="2" t="s">
        <v>20</v>
      </c>
      <c r="I1261" s="2">
        <f t="shared" si="38"/>
        <v>356.21000000000004</v>
      </c>
      <c r="J1261" s="2">
        <f t="shared" si="39"/>
        <v>2.0811521383500819</v>
      </c>
    </row>
    <row r="1262" spans="1:10" x14ac:dyDescent="0.3">
      <c r="A1262" s="1">
        <v>45383</v>
      </c>
      <c r="B1262">
        <v>1014.29</v>
      </c>
      <c r="C1262">
        <v>36.020000000000003</v>
      </c>
      <c r="D1262">
        <v>5</v>
      </c>
      <c r="E1262" s="2" t="s">
        <v>16</v>
      </c>
      <c r="F1262" s="2" t="s">
        <v>9</v>
      </c>
      <c r="G1262" s="2" t="s">
        <v>10</v>
      </c>
      <c r="H1262" s="2" t="s">
        <v>15</v>
      </c>
      <c r="I1262" s="2">
        <f t="shared" si="38"/>
        <v>978.27</v>
      </c>
      <c r="J1262" s="2">
        <f t="shared" si="39"/>
        <v>27.159078289838977</v>
      </c>
    </row>
    <row r="1263" spans="1:10" x14ac:dyDescent="0.3">
      <c r="A1263" s="1">
        <v>45384</v>
      </c>
      <c r="B1263">
        <v>125.53</v>
      </c>
      <c r="C1263">
        <v>418.5</v>
      </c>
      <c r="D1263">
        <v>6</v>
      </c>
      <c r="E1263" s="2" t="s">
        <v>13</v>
      </c>
      <c r="F1263" s="2" t="s">
        <v>17</v>
      </c>
      <c r="G1263" s="2" t="s">
        <v>14</v>
      </c>
      <c r="H1263" s="2" t="s">
        <v>20</v>
      </c>
      <c r="I1263" s="2">
        <f t="shared" si="38"/>
        <v>-292.97000000000003</v>
      </c>
      <c r="J1263" s="2">
        <f t="shared" si="39"/>
        <v>-0.70004778972520909</v>
      </c>
    </row>
    <row r="1264" spans="1:10" x14ac:dyDescent="0.3">
      <c r="A1264" s="1">
        <v>45324</v>
      </c>
      <c r="B1264">
        <v>207.94</v>
      </c>
      <c r="C1264">
        <v>470.72</v>
      </c>
      <c r="D1264">
        <v>10</v>
      </c>
      <c r="E1264" s="2" t="s">
        <v>13</v>
      </c>
      <c r="F1264" s="2" t="s">
        <v>9</v>
      </c>
      <c r="G1264" s="2" t="s">
        <v>19</v>
      </c>
      <c r="H1264" s="2" t="s">
        <v>20</v>
      </c>
      <c r="I1264" s="2">
        <f t="shared" si="38"/>
        <v>-262.78000000000003</v>
      </c>
      <c r="J1264" s="2">
        <f t="shared" si="39"/>
        <v>-0.55825118966689335</v>
      </c>
    </row>
    <row r="1265" spans="1:10" x14ac:dyDescent="0.3">
      <c r="A1265" s="1">
        <v>45388</v>
      </c>
      <c r="B1265">
        <v>1105.46</v>
      </c>
      <c r="C1265">
        <v>159.57</v>
      </c>
      <c r="D1265">
        <v>3</v>
      </c>
      <c r="E1265" s="2" t="s">
        <v>8</v>
      </c>
      <c r="F1265" s="2" t="s">
        <v>17</v>
      </c>
      <c r="G1265" s="2" t="s">
        <v>12</v>
      </c>
      <c r="H1265" s="2" t="s">
        <v>20</v>
      </c>
      <c r="I1265" s="2">
        <f t="shared" si="38"/>
        <v>945.8900000000001</v>
      </c>
      <c r="J1265" s="2">
        <f t="shared" si="39"/>
        <v>5.9277433101460186</v>
      </c>
    </row>
    <row r="1266" spans="1:10" x14ac:dyDescent="0.3">
      <c r="A1266" s="1">
        <v>45396</v>
      </c>
      <c r="B1266">
        <v>1197.6300000000001</v>
      </c>
      <c r="C1266">
        <v>428.9</v>
      </c>
      <c r="D1266">
        <v>8</v>
      </c>
      <c r="E1266" s="2" t="s">
        <v>13</v>
      </c>
      <c r="F1266" s="2" t="s">
        <v>9</v>
      </c>
      <c r="G1266" s="2" t="s">
        <v>19</v>
      </c>
      <c r="H1266" s="2" t="s">
        <v>20</v>
      </c>
      <c r="I1266" s="2">
        <f t="shared" si="38"/>
        <v>768.73000000000013</v>
      </c>
      <c r="J1266" s="2">
        <f t="shared" si="39"/>
        <v>1.7923292142690608</v>
      </c>
    </row>
    <row r="1267" spans="1:10" x14ac:dyDescent="0.3">
      <c r="A1267" s="1">
        <v>45380</v>
      </c>
      <c r="B1267">
        <v>610.52</v>
      </c>
      <c r="C1267">
        <v>378.71</v>
      </c>
      <c r="D1267">
        <v>7</v>
      </c>
      <c r="E1267" s="2" t="s">
        <v>13</v>
      </c>
      <c r="F1267" s="2" t="s">
        <v>17</v>
      </c>
      <c r="G1267" s="2" t="s">
        <v>10</v>
      </c>
      <c r="H1267" s="2" t="s">
        <v>20</v>
      </c>
      <c r="I1267" s="2">
        <f t="shared" si="38"/>
        <v>231.81</v>
      </c>
      <c r="J1267" s="2">
        <f t="shared" si="39"/>
        <v>0.61210424863351909</v>
      </c>
    </row>
    <row r="1268" spans="1:10" x14ac:dyDescent="0.3">
      <c r="A1268" s="1">
        <v>45401</v>
      </c>
      <c r="B1268">
        <v>957.9</v>
      </c>
      <c r="C1268">
        <v>285.51</v>
      </c>
      <c r="D1268">
        <v>5</v>
      </c>
      <c r="E1268" s="2" t="s">
        <v>16</v>
      </c>
      <c r="F1268" s="2" t="s">
        <v>17</v>
      </c>
      <c r="G1268" s="2" t="s">
        <v>10</v>
      </c>
      <c r="H1268" s="2" t="s">
        <v>15</v>
      </c>
      <c r="I1268" s="2">
        <f t="shared" si="38"/>
        <v>672.39</v>
      </c>
      <c r="J1268" s="2">
        <f t="shared" si="39"/>
        <v>2.3550488599348536</v>
      </c>
    </row>
    <row r="1269" spans="1:10" x14ac:dyDescent="0.3">
      <c r="A1269" s="1">
        <v>45292</v>
      </c>
      <c r="B1269">
        <v>281.89</v>
      </c>
      <c r="C1269">
        <v>251.78</v>
      </c>
      <c r="D1269">
        <v>4</v>
      </c>
      <c r="E1269" s="2" t="s">
        <v>16</v>
      </c>
      <c r="F1269" s="2" t="s">
        <v>17</v>
      </c>
      <c r="G1269" s="2" t="s">
        <v>14</v>
      </c>
      <c r="H1269" s="2" t="s">
        <v>18</v>
      </c>
      <c r="I1269" s="2">
        <f t="shared" si="38"/>
        <v>30.109999999999985</v>
      </c>
      <c r="J1269" s="2">
        <f t="shared" si="39"/>
        <v>0.11958852966875838</v>
      </c>
    </row>
    <row r="1270" spans="1:10" x14ac:dyDescent="0.3">
      <c r="A1270" s="1">
        <v>45302</v>
      </c>
      <c r="B1270">
        <v>1235.72</v>
      </c>
      <c r="C1270">
        <v>52.91</v>
      </c>
      <c r="D1270">
        <v>3</v>
      </c>
      <c r="E1270" s="2" t="s">
        <v>8</v>
      </c>
      <c r="F1270" s="2" t="s">
        <v>17</v>
      </c>
      <c r="G1270" s="2" t="s">
        <v>10</v>
      </c>
      <c r="H1270" s="2" t="s">
        <v>20</v>
      </c>
      <c r="I1270" s="2">
        <f t="shared" si="38"/>
        <v>1182.81</v>
      </c>
      <c r="J1270" s="2">
        <f t="shared" si="39"/>
        <v>22.355131355131356</v>
      </c>
    </row>
    <row r="1271" spans="1:10" x14ac:dyDescent="0.3">
      <c r="A1271" s="1">
        <v>45331</v>
      </c>
      <c r="B1271">
        <v>757.74</v>
      </c>
      <c r="C1271">
        <v>473.19</v>
      </c>
      <c r="D1271">
        <v>0</v>
      </c>
      <c r="E1271" s="2" t="s">
        <v>16</v>
      </c>
      <c r="F1271" s="2" t="s">
        <v>17</v>
      </c>
      <c r="G1271" s="2" t="s">
        <v>12</v>
      </c>
      <c r="H1271" s="2" t="s">
        <v>15</v>
      </c>
      <c r="I1271" s="2">
        <f t="shared" si="38"/>
        <v>284.55</v>
      </c>
      <c r="J1271" s="2">
        <f t="shared" si="39"/>
        <v>0.60134406897863435</v>
      </c>
    </row>
    <row r="1272" spans="1:10" x14ac:dyDescent="0.3">
      <c r="A1272" s="1">
        <v>45308</v>
      </c>
      <c r="B1272">
        <v>441.36</v>
      </c>
      <c r="C1272">
        <v>362.55</v>
      </c>
      <c r="D1272">
        <v>10</v>
      </c>
      <c r="E1272" s="2" t="s">
        <v>16</v>
      </c>
      <c r="F1272" s="2" t="s">
        <v>17</v>
      </c>
      <c r="G1272" s="2" t="s">
        <v>12</v>
      </c>
      <c r="H1272" s="2" t="s">
        <v>20</v>
      </c>
      <c r="I1272" s="2">
        <f t="shared" si="38"/>
        <v>78.81</v>
      </c>
      <c r="J1272" s="2">
        <f t="shared" si="39"/>
        <v>0.21737691352916838</v>
      </c>
    </row>
    <row r="1273" spans="1:10" x14ac:dyDescent="0.3">
      <c r="A1273" s="1">
        <v>45358</v>
      </c>
      <c r="B1273">
        <v>634.80999999999995</v>
      </c>
      <c r="C1273">
        <v>282.14999999999998</v>
      </c>
      <c r="D1273">
        <v>5</v>
      </c>
      <c r="E1273" s="2" t="s">
        <v>8</v>
      </c>
      <c r="F1273" s="2" t="s">
        <v>9</v>
      </c>
      <c r="G1273" s="2" t="s">
        <v>12</v>
      </c>
      <c r="H1273" s="2" t="s">
        <v>11</v>
      </c>
      <c r="I1273" s="2">
        <f t="shared" si="38"/>
        <v>352.65999999999997</v>
      </c>
      <c r="J1273" s="2">
        <f t="shared" si="39"/>
        <v>1.2499025341130605</v>
      </c>
    </row>
    <row r="1274" spans="1:10" x14ac:dyDescent="0.3">
      <c r="A1274" s="1">
        <v>45313</v>
      </c>
      <c r="B1274">
        <v>572.69000000000005</v>
      </c>
      <c r="C1274">
        <v>134.75</v>
      </c>
      <c r="D1274">
        <v>1</v>
      </c>
      <c r="E1274" s="2" t="s">
        <v>16</v>
      </c>
      <c r="F1274" s="2" t="s">
        <v>9</v>
      </c>
      <c r="G1274" s="2" t="s">
        <v>12</v>
      </c>
      <c r="H1274" s="2" t="s">
        <v>18</v>
      </c>
      <c r="I1274" s="2">
        <f t="shared" si="38"/>
        <v>437.94000000000005</v>
      </c>
      <c r="J1274" s="2">
        <f t="shared" si="39"/>
        <v>3.2500185528756962</v>
      </c>
    </row>
    <row r="1275" spans="1:10" x14ac:dyDescent="0.3">
      <c r="A1275" s="1">
        <v>45361</v>
      </c>
      <c r="B1275">
        <v>1123.27</v>
      </c>
      <c r="C1275">
        <v>419.28</v>
      </c>
      <c r="D1275">
        <v>5</v>
      </c>
      <c r="E1275" s="2" t="s">
        <v>8</v>
      </c>
      <c r="F1275" s="2" t="s">
        <v>9</v>
      </c>
      <c r="G1275" s="2" t="s">
        <v>14</v>
      </c>
      <c r="H1275" s="2" t="s">
        <v>18</v>
      </c>
      <c r="I1275" s="2">
        <f t="shared" si="38"/>
        <v>703.99</v>
      </c>
      <c r="J1275" s="2">
        <f t="shared" si="39"/>
        <v>1.6790450295745087</v>
      </c>
    </row>
    <row r="1276" spans="1:10" x14ac:dyDescent="0.3">
      <c r="A1276" s="1">
        <v>45411</v>
      </c>
      <c r="B1276">
        <v>1084.01</v>
      </c>
      <c r="C1276">
        <v>62.49</v>
      </c>
      <c r="D1276">
        <v>1</v>
      </c>
      <c r="E1276" s="2" t="s">
        <v>13</v>
      </c>
      <c r="F1276" s="2" t="s">
        <v>17</v>
      </c>
      <c r="G1276" s="2" t="s">
        <v>14</v>
      </c>
      <c r="H1276" s="2" t="s">
        <v>18</v>
      </c>
      <c r="I1276" s="2">
        <f t="shared" si="38"/>
        <v>1021.52</v>
      </c>
      <c r="J1276" s="2">
        <f t="shared" si="39"/>
        <v>16.346935509681547</v>
      </c>
    </row>
    <row r="1277" spans="1:10" x14ac:dyDescent="0.3">
      <c r="A1277" s="1">
        <v>45354</v>
      </c>
      <c r="B1277">
        <v>1175.24</v>
      </c>
      <c r="C1277">
        <v>453.24</v>
      </c>
      <c r="D1277">
        <v>0</v>
      </c>
      <c r="E1277" s="2" t="s">
        <v>16</v>
      </c>
      <c r="F1277" s="2" t="s">
        <v>9</v>
      </c>
      <c r="G1277" s="2" t="s">
        <v>12</v>
      </c>
      <c r="H1277" s="2" t="s">
        <v>11</v>
      </c>
      <c r="I1277" s="2">
        <f t="shared" si="38"/>
        <v>722</v>
      </c>
      <c r="J1277" s="2">
        <f t="shared" si="39"/>
        <v>1.5929750242697025</v>
      </c>
    </row>
    <row r="1278" spans="1:10" x14ac:dyDescent="0.3">
      <c r="A1278" s="1">
        <v>45324</v>
      </c>
      <c r="B1278">
        <v>1300.53</v>
      </c>
      <c r="C1278">
        <v>289.52</v>
      </c>
      <c r="D1278">
        <v>2</v>
      </c>
      <c r="E1278" s="2" t="s">
        <v>16</v>
      </c>
      <c r="F1278" s="2" t="s">
        <v>17</v>
      </c>
      <c r="G1278" s="2" t="s">
        <v>14</v>
      </c>
      <c r="H1278" s="2" t="s">
        <v>20</v>
      </c>
      <c r="I1278" s="2">
        <f t="shared" si="38"/>
        <v>1011.01</v>
      </c>
      <c r="J1278" s="2">
        <f t="shared" si="39"/>
        <v>3.4920212765957448</v>
      </c>
    </row>
    <row r="1279" spans="1:10" x14ac:dyDescent="0.3">
      <c r="A1279" s="1">
        <v>45322</v>
      </c>
      <c r="B1279">
        <v>719.18</v>
      </c>
      <c r="C1279">
        <v>286.33</v>
      </c>
      <c r="D1279">
        <v>7</v>
      </c>
      <c r="E1279" s="2" t="s">
        <v>16</v>
      </c>
      <c r="F1279" s="2" t="s">
        <v>17</v>
      </c>
      <c r="G1279" s="2" t="s">
        <v>12</v>
      </c>
      <c r="H1279" s="2" t="s">
        <v>20</v>
      </c>
      <c r="I1279" s="2">
        <f t="shared" si="38"/>
        <v>432.84999999999997</v>
      </c>
      <c r="J1279" s="2">
        <f t="shared" si="39"/>
        <v>1.5117172493276987</v>
      </c>
    </row>
    <row r="1280" spans="1:10" x14ac:dyDescent="0.3">
      <c r="A1280" s="1">
        <v>45294</v>
      </c>
      <c r="B1280">
        <v>358.17</v>
      </c>
      <c r="C1280">
        <v>118.42</v>
      </c>
      <c r="D1280">
        <v>6</v>
      </c>
      <c r="E1280" s="2" t="s">
        <v>16</v>
      </c>
      <c r="F1280" s="2" t="s">
        <v>9</v>
      </c>
      <c r="G1280" s="2" t="s">
        <v>12</v>
      </c>
      <c r="H1280" s="2" t="s">
        <v>15</v>
      </c>
      <c r="I1280" s="2">
        <f t="shared" si="38"/>
        <v>239.75</v>
      </c>
      <c r="J1280" s="2">
        <f t="shared" si="39"/>
        <v>2.0245735517649046</v>
      </c>
    </row>
    <row r="1281" spans="1:10" x14ac:dyDescent="0.3">
      <c r="A1281" s="1">
        <v>45318</v>
      </c>
      <c r="B1281">
        <v>586.79999999999995</v>
      </c>
      <c r="C1281">
        <v>164.91</v>
      </c>
      <c r="D1281">
        <v>7</v>
      </c>
      <c r="E1281" s="2" t="s">
        <v>8</v>
      </c>
      <c r="F1281" s="2" t="s">
        <v>9</v>
      </c>
      <c r="G1281" s="2" t="s">
        <v>19</v>
      </c>
      <c r="H1281" s="2" t="s">
        <v>11</v>
      </c>
      <c r="I1281" s="2">
        <f t="shared" si="38"/>
        <v>421.89</v>
      </c>
      <c r="J1281" s="2">
        <f t="shared" si="39"/>
        <v>2.5583045297434963</v>
      </c>
    </row>
    <row r="1282" spans="1:10" x14ac:dyDescent="0.3">
      <c r="A1282" s="1">
        <v>45332</v>
      </c>
      <c r="B1282">
        <v>1478.42</v>
      </c>
      <c r="C1282">
        <v>10.9</v>
      </c>
      <c r="D1282">
        <v>6</v>
      </c>
      <c r="E1282" s="2" t="s">
        <v>13</v>
      </c>
      <c r="F1282" s="2" t="s">
        <v>17</v>
      </c>
      <c r="G1282" s="2" t="s">
        <v>19</v>
      </c>
      <c r="H1282" s="2" t="s">
        <v>18</v>
      </c>
      <c r="I1282" s="2">
        <f t="shared" ref="I1282:I1345" si="40">B1282-C1282</f>
        <v>1467.52</v>
      </c>
      <c r="J1282" s="2">
        <f t="shared" ref="J1282:J1345" si="41">IF(C1282=0,0,I1282/C1282)</f>
        <v>134.6348623853211</v>
      </c>
    </row>
    <row r="1283" spans="1:10" x14ac:dyDescent="0.3">
      <c r="A1283" s="1">
        <v>45351</v>
      </c>
      <c r="B1283">
        <v>909.64</v>
      </c>
      <c r="C1283">
        <v>217.7</v>
      </c>
      <c r="D1283">
        <v>3</v>
      </c>
      <c r="E1283" s="2" t="s">
        <v>16</v>
      </c>
      <c r="F1283" s="2" t="s">
        <v>17</v>
      </c>
      <c r="G1283" s="2" t="s">
        <v>14</v>
      </c>
      <c r="H1283" s="2" t="s">
        <v>15</v>
      </c>
      <c r="I1283" s="2">
        <f t="shared" si="40"/>
        <v>691.94</v>
      </c>
      <c r="J1283" s="2">
        <f t="shared" si="41"/>
        <v>3.178410656867249</v>
      </c>
    </row>
    <row r="1284" spans="1:10" x14ac:dyDescent="0.3">
      <c r="A1284" s="1">
        <v>45353</v>
      </c>
      <c r="B1284">
        <v>1103.4100000000001</v>
      </c>
      <c r="C1284">
        <v>163.65</v>
      </c>
      <c r="D1284">
        <v>2</v>
      </c>
      <c r="E1284" s="2" t="s">
        <v>13</v>
      </c>
      <c r="F1284" s="2" t="s">
        <v>9</v>
      </c>
      <c r="G1284" s="2" t="s">
        <v>10</v>
      </c>
      <c r="H1284" s="2" t="s">
        <v>20</v>
      </c>
      <c r="I1284" s="2">
        <f t="shared" si="40"/>
        <v>939.7600000000001</v>
      </c>
      <c r="J1284" s="2">
        <f t="shared" si="41"/>
        <v>5.7424992361747638</v>
      </c>
    </row>
    <row r="1285" spans="1:10" x14ac:dyDescent="0.3">
      <c r="A1285" s="1">
        <v>45326</v>
      </c>
      <c r="B1285">
        <v>703.81</v>
      </c>
      <c r="C1285">
        <v>10.97</v>
      </c>
      <c r="D1285">
        <v>0</v>
      </c>
      <c r="E1285" s="2" t="s">
        <v>8</v>
      </c>
      <c r="F1285" s="2" t="s">
        <v>17</v>
      </c>
      <c r="G1285" s="2" t="s">
        <v>14</v>
      </c>
      <c r="H1285" s="2" t="s">
        <v>11</v>
      </c>
      <c r="I1285" s="2">
        <f t="shared" si="40"/>
        <v>692.83999999999992</v>
      </c>
      <c r="J1285" s="2">
        <f t="shared" si="41"/>
        <v>63.157702825888776</v>
      </c>
    </row>
    <row r="1286" spans="1:10" x14ac:dyDescent="0.3">
      <c r="A1286" s="1">
        <v>45325</v>
      </c>
      <c r="B1286">
        <v>267.8</v>
      </c>
      <c r="C1286">
        <v>205.37</v>
      </c>
      <c r="D1286">
        <v>0</v>
      </c>
      <c r="E1286" s="2" t="s">
        <v>16</v>
      </c>
      <c r="F1286" s="2" t="s">
        <v>9</v>
      </c>
      <c r="G1286" s="2" t="s">
        <v>19</v>
      </c>
      <c r="H1286" s="2" t="s">
        <v>20</v>
      </c>
      <c r="I1286" s="2">
        <f t="shared" si="40"/>
        <v>62.430000000000007</v>
      </c>
      <c r="J1286" s="2">
        <f t="shared" si="41"/>
        <v>0.30398792423430882</v>
      </c>
    </row>
    <row r="1287" spans="1:10" x14ac:dyDescent="0.3">
      <c r="A1287" s="1">
        <v>45322</v>
      </c>
      <c r="B1287">
        <v>1048.21</v>
      </c>
      <c r="C1287">
        <v>453.28</v>
      </c>
      <c r="D1287">
        <v>3</v>
      </c>
      <c r="E1287" s="2" t="s">
        <v>8</v>
      </c>
      <c r="F1287" s="2" t="s">
        <v>9</v>
      </c>
      <c r="G1287" s="2" t="s">
        <v>19</v>
      </c>
      <c r="H1287" s="2" t="s">
        <v>15</v>
      </c>
      <c r="I1287" s="2">
        <f t="shared" si="40"/>
        <v>594.93000000000006</v>
      </c>
      <c r="J1287" s="2">
        <f t="shared" si="41"/>
        <v>1.3125000000000002</v>
      </c>
    </row>
    <row r="1288" spans="1:10" x14ac:dyDescent="0.3">
      <c r="A1288" s="1">
        <v>45356</v>
      </c>
      <c r="B1288">
        <v>1312.25</v>
      </c>
      <c r="C1288">
        <v>431.76</v>
      </c>
      <c r="D1288">
        <v>0</v>
      </c>
      <c r="E1288" s="2" t="s">
        <v>16</v>
      </c>
      <c r="F1288" s="2" t="s">
        <v>9</v>
      </c>
      <c r="G1288" s="2" t="s">
        <v>12</v>
      </c>
      <c r="H1288" s="2" t="s">
        <v>11</v>
      </c>
      <c r="I1288" s="2">
        <f t="shared" si="40"/>
        <v>880.49</v>
      </c>
      <c r="J1288" s="2">
        <f t="shared" si="41"/>
        <v>2.0393042430980173</v>
      </c>
    </row>
    <row r="1289" spans="1:10" x14ac:dyDescent="0.3">
      <c r="A1289" s="1">
        <v>45303</v>
      </c>
      <c r="B1289">
        <v>524.25</v>
      </c>
      <c r="C1289">
        <v>452.81</v>
      </c>
      <c r="D1289">
        <v>3</v>
      </c>
      <c r="E1289" s="2" t="s">
        <v>8</v>
      </c>
      <c r="F1289" s="2" t="s">
        <v>17</v>
      </c>
      <c r="G1289" s="2" t="s">
        <v>10</v>
      </c>
      <c r="H1289" s="2" t="s">
        <v>18</v>
      </c>
      <c r="I1289" s="2">
        <f t="shared" si="40"/>
        <v>71.44</v>
      </c>
      <c r="J1289" s="2">
        <f t="shared" si="41"/>
        <v>0.15777036726220711</v>
      </c>
    </row>
    <row r="1290" spans="1:10" x14ac:dyDescent="0.3">
      <c r="A1290" s="1">
        <v>45322</v>
      </c>
      <c r="B1290">
        <v>844.28</v>
      </c>
      <c r="C1290">
        <v>462.4</v>
      </c>
      <c r="D1290">
        <v>0</v>
      </c>
      <c r="E1290" s="2" t="s">
        <v>16</v>
      </c>
      <c r="F1290" s="2" t="s">
        <v>9</v>
      </c>
      <c r="G1290" s="2" t="s">
        <v>10</v>
      </c>
      <c r="H1290" s="2" t="s">
        <v>15</v>
      </c>
      <c r="I1290" s="2">
        <f t="shared" si="40"/>
        <v>381.88</v>
      </c>
      <c r="J1290" s="2">
        <f t="shared" si="41"/>
        <v>0.82586505190311421</v>
      </c>
    </row>
    <row r="1291" spans="1:10" x14ac:dyDescent="0.3">
      <c r="A1291" s="1">
        <v>45377</v>
      </c>
      <c r="B1291">
        <v>285.64999999999998</v>
      </c>
      <c r="C1291">
        <v>11.55</v>
      </c>
      <c r="D1291">
        <v>5</v>
      </c>
      <c r="E1291" s="2" t="s">
        <v>8</v>
      </c>
      <c r="F1291" s="2" t="s">
        <v>17</v>
      </c>
      <c r="G1291" s="2" t="s">
        <v>10</v>
      </c>
      <c r="H1291" s="2" t="s">
        <v>15</v>
      </c>
      <c r="I1291" s="2">
        <f t="shared" si="40"/>
        <v>274.09999999999997</v>
      </c>
      <c r="J1291" s="2">
        <f t="shared" si="41"/>
        <v>23.731601731601728</v>
      </c>
    </row>
    <row r="1292" spans="1:10" x14ac:dyDescent="0.3">
      <c r="A1292" s="1">
        <v>45376</v>
      </c>
      <c r="B1292">
        <v>277.97000000000003</v>
      </c>
      <c r="C1292">
        <v>10.02</v>
      </c>
      <c r="D1292">
        <v>10</v>
      </c>
      <c r="E1292" s="2" t="s">
        <v>8</v>
      </c>
      <c r="F1292" s="2" t="s">
        <v>17</v>
      </c>
      <c r="G1292" s="2" t="s">
        <v>19</v>
      </c>
      <c r="H1292" s="2" t="s">
        <v>11</v>
      </c>
      <c r="I1292" s="2">
        <f t="shared" si="40"/>
        <v>267.95000000000005</v>
      </c>
      <c r="J1292" s="2">
        <f t="shared" si="41"/>
        <v>26.74151696606787</v>
      </c>
    </row>
    <row r="1293" spans="1:10" x14ac:dyDescent="0.3">
      <c r="A1293" s="1">
        <v>45398</v>
      </c>
      <c r="B1293">
        <v>705.9</v>
      </c>
      <c r="C1293">
        <v>196.05</v>
      </c>
      <c r="D1293">
        <v>6</v>
      </c>
      <c r="E1293" s="2" t="s">
        <v>13</v>
      </c>
      <c r="F1293" s="2" t="s">
        <v>9</v>
      </c>
      <c r="G1293" s="2" t="s">
        <v>19</v>
      </c>
      <c r="H1293" s="2" t="s">
        <v>11</v>
      </c>
      <c r="I1293" s="2">
        <f t="shared" si="40"/>
        <v>509.84999999999997</v>
      </c>
      <c r="J1293" s="2">
        <f t="shared" si="41"/>
        <v>2.600612088752869</v>
      </c>
    </row>
    <row r="1294" spans="1:10" x14ac:dyDescent="0.3">
      <c r="A1294" s="1">
        <v>45390</v>
      </c>
      <c r="B1294">
        <v>61.78</v>
      </c>
      <c r="C1294">
        <v>31.6</v>
      </c>
      <c r="D1294">
        <v>4</v>
      </c>
      <c r="E1294" s="2" t="s">
        <v>8</v>
      </c>
      <c r="F1294" s="2" t="s">
        <v>9</v>
      </c>
      <c r="G1294" s="2" t="s">
        <v>12</v>
      </c>
      <c r="H1294" s="2" t="s">
        <v>20</v>
      </c>
      <c r="I1294" s="2">
        <f t="shared" si="40"/>
        <v>30.18</v>
      </c>
      <c r="J1294" s="2">
        <f t="shared" si="41"/>
        <v>0.95506329113924049</v>
      </c>
    </row>
    <row r="1295" spans="1:10" x14ac:dyDescent="0.3">
      <c r="A1295" s="1">
        <v>45357</v>
      </c>
      <c r="B1295">
        <v>1192.74</v>
      </c>
      <c r="C1295">
        <v>352.22</v>
      </c>
      <c r="D1295">
        <v>10</v>
      </c>
      <c r="E1295" s="2" t="s">
        <v>16</v>
      </c>
      <c r="F1295" s="2" t="s">
        <v>9</v>
      </c>
      <c r="G1295" s="2" t="s">
        <v>14</v>
      </c>
      <c r="H1295" s="2" t="s">
        <v>18</v>
      </c>
      <c r="I1295" s="2">
        <f t="shared" si="40"/>
        <v>840.52</v>
      </c>
      <c r="J1295" s="2">
        <f t="shared" si="41"/>
        <v>2.3863494406904775</v>
      </c>
    </row>
    <row r="1296" spans="1:10" x14ac:dyDescent="0.3">
      <c r="A1296" s="1">
        <v>45407</v>
      </c>
      <c r="B1296">
        <v>90</v>
      </c>
      <c r="C1296">
        <v>249.27</v>
      </c>
      <c r="D1296">
        <v>1</v>
      </c>
      <c r="E1296" s="2" t="s">
        <v>16</v>
      </c>
      <c r="F1296" s="2" t="s">
        <v>9</v>
      </c>
      <c r="G1296" s="2" t="s">
        <v>10</v>
      </c>
      <c r="H1296" s="2" t="s">
        <v>20</v>
      </c>
      <c r="I1296" s="2">
        <f t="shared" si="40"/>
        <v>-159.27000000000001</v>
      </c>
      <c r="J1296" s="2">
        <f t="shared" si="41"/>
        <v>-0.63894572150679985</v>
      </c>
    </row>
    <row r="1297" spans="1:10" x14ac:dyDescent="0.3">
      <c r="A1297" s="1">
        <v>45396</v>
      </c>
      <c r="B1297">
        <v>790.6</v>
      </c>
      <c r="C1297">
        <v>263.77999999999997</v>
      </c>
      <c r="D1297">
        <v>8</v>
      </c>
      <c r="E1297" s="2" t="s">
        <v>16</v>
      </c>
      <c r="F1297" s="2" t="s">
        <v>9</v>
      </c>
      <c r="G1297" s="2" t="s">
        <v>19</v>
      </c>
      <c r="H1297" s="2" t="s">
        <v>20</v>
      </c>
      <c r="I1297" s="2">
        <f t="shared" si="40"/>
        <v>526.82000000000005</v>
      </c>
      <c r="J1297" s="2">
        <f t="shared" si="41"/>
        <v>1.9971946318902118</v>
      </c>
    </row>
    <row r="1298" spans="1:10" x14ac:dyDescent="0.3">
      <c r="A1298" s="1">
        <v>45324</v>
      </c>
      <c r="B1298">
        <v>751.27</v>
      </c>
      <c r="C1298">
        <v>263.07</v>
      </c>
      <c r="D1298">
        <v>7</v>
      </c>
      <c r="E1298" s="2" t="s">
        <v>8</v>
      </c>
      <c r="F1298" s="2" t="s">
        <v>17</v>
      </c>
      <c r="G1298" s="2" t="s">
        <v>10</v>
      </c>
      <c r="H1298" s="2" t="s">
        <v>11</v>
      </c>
      <c r="I1298" s="2">
        <f t="shared" si="40"/>
        <v>488.2</v>
      </c>
      <c r="J1298" s="2">
        <f t="shared" si="41"/>
        <v>1.8557798304633748</v>
      </c>
    </row>
    <row r="1299" spans="1:10" x14ac:dyDescent="0.3">
      <c r="A1299" s="1">
        <v>45367</v>
      </c>
      <c r="B1299">
        <v>1388.63</v>
      </c>
      <c r="C1299">
        <v>360.81</v>
      </c>
      <c r="D1299">
        <v>10</v>
      </c>
      <c r="E1299" s="2" t="s">
        <v>16</v>
      </c>
      <c r="F1299" s="2" t="s">
        <v>9</v>
      </c>
      <c r="G1299" s="2" t="s">
        <v>14</v>
      </c>
      <c r="H1299" s="2" t="s">
        <v>20</v>
      </c>
      <c r="I1299" s="2">
        <f t="shared" si="40"/>
        <v>1027.8200000000002</v>
      </c>
      <c r="J1299" s="2">
        <f t="shared" si="41"/>
        <v>2.8486461018264464</v>
      </c>
    </row>
    <row r="1300" spans="1:10" x14ac:dyDescent="0.3">
      <c r="A1300" s="1">
        <v>45319</v>
      </c>
      <c r="B1300">
        <v>567.28</v>
      </c>
      <c r="C1300">
        <v>67.849999999999994</v>
      </c>
      <c r="D1300">
        <v>6</v>
      </c>
      <c r="E1300" s="2" t="s">
        <v>8</v>
      </c>
      <c r="F1300" s="2" t="s">
        <v>9</v>
      </c>
      <c r="G1300" s="2" t="s">
        <v>10</v>
      </c>
      <c r="H1300" s="2" t="s">
        <v>15</v>
      </c>
      <c r="I1300" s="2">
        <f t="shared" si="40"/>
        <v>499.42999999999995</v>
      </c>
      <c r="J1300" s="2">
        <f t="shared" si="41"/>
        <v>7.360795873249816</v>
      </c>
    </row>
    <row r="1301" spans="1:10" x14ac:dyDescent="0.3">
      <c r="A1301" s="1">
        <v>45327</v>
      </c>
      <c r="B1301">
        <v>405.17</v>
      </c>
      <c r="C1301">
        <v>181.77</v>
      </c>
      <c r="D1301">
        <v>3</v>
      </c>
      <c r="E1301" s="2" t="s">
        <v>16</v>
      </c>
      <c r="F1301" s="2" t="s">
        <v>17</v>
      </c>
      <c r="G1301" s="2" t="s">
        <v>14</v>
      </c>
      <c r="H1301" s="2" t="s">
        <v>18</v>
      </c>
      <c r="I1301" s="2">
        <f t="shared" si="40"/>
        <v>223.4</v>
      </c>
      <c r="J1301" s="2">
        <f t="shared" si="41"/>
        <v>1.2290256918083291</v>
      </c>
    </row>
    <row r="1302" spans="1:10" x14ac:dyDescent="0.3">
      <c r="A1302" s="1">
        <v>45308</v>
      </c>
      <c r="B1302">
        <v>1094.72</v>
      </c>
      <c r="C1302">
        <v>141.49</v>
      </c>
      <c r="D1302">
        <v>8</v>
      </c>
      <c r="E1302" s="2" t="s">
        <v>16</v>
      </c>
      <c r="F1302" s="2" t="s">
        <v>9</v>
      </c>
      <c r="G1302" s="2" t="s">
        <v>19</v>
      </c>
      <c r="H1302" s="2" t="s">
        <v>20</v>
      </c>
      <c r="I1302" s="2">
        <f t="shared" si="40"/>
        <v>953.23</v>
      </c>
      <c r="J1302" s="2">
        <f t="shared" si="41"/>
        <v>6.7370838928546188</v>
      </c>
    </row>
    <row r="1303" spans="1:10" x14ac:dyDescent="0.3">
      <c r="A1303" s="1">
        <v>45333</v>
      </c>
      <c r="B1303">
        <v>1425.12</v>
      </c>
      <c r="C1303">
        <v>69.61</v>
      </c>
      <c r="D1303">
        <v>0</v>
      </c>
      <c r="E1303" s="2" t="s">
        <v>16</v>
      </c>
      <c r="F1303" s="2" t="s">
        <v>9</v>
      </c>
      <c r="G1303" s="2" t="s">
        <v>10</v>
      </c>
      <c r="H1303" s="2" t="s">
        <v>18</v>
      </c>
      <c r="I1303" s="2">
        <f t="shared" si="40"/>
        <v>1355.51</v>
      </c>
      <c r="J1303" s="2">
        <f t="shared" si="41"/>
        <v>19.472920557391181</v>
      </c>
    </row>
    <row r="1304" spans="1:10" x14ac:dyDescent="0.3">
      <c r="A1304" s="1">
        <v>45322</v>
      </c>
      <c r="B1304">
        <v>1044.78</v>
      </c>
      <c r="C1304">
        <v>274.33</v>
      </c>
      <c r="D1304">
        <v>10</v>
      </c>
      <c r="E1304" s="2" t="s">
        <v>13</v>
      </c>
      <c r="F1304" s="2" t="s">
        <v>9</v>
      </c>
      <c r="G1304" s="2" t="s">
        <v>14</v>
      </c>
      <c r="H1304" s="2" t="s">
        <v>18</v>
      </c>
      <c r="I1304" s="2">
        <f t="shared" si="40"/>
        <v>770.45</v>
      </c>
      <c r="J1304" s="2">
        <f t="shared" si="41"/>
        <v>2.8084788393540632</v>
      </c>
    </row>
    <row r="1305" spans="1:10" x14ac:dyDescent="0.3">
      <c r="A1305" s="1">
        <v>45373</v>
      </c>
      <c r="B1305">
        <v>1128.24</v>
      </c>
      <c r="C1305">
        <v>85.32</v>
      </c>
      <c r="D1305">
        <v>10</v>
      </c>
      <c r="E1305" s="2" t="s">
        <v>13</v>
      </c>
      <c r="F1305" s="2" t="s">
        <v>9</v>
      </c>
      <c r="G1305" s="2" t="s">
        <v>12</v>
      </c>
      <c r="H1305" s="2" t="s">
        <v>20</v>
      </c>
      <c r="I1305" s="2">
        <f t="shared" si="40"/>
        <v>1042.92</v>
      </c>
      <c r="J1305" s="2">
        <f t="shared" si="41"/>
        <v>12.223628691983125</v>
      </c>
    </row>
    <row r="1306" spans="1:10" x14ac:dyDescent="0.3">
      <c r="A1306" s="1">
        <v>45319</v>
      </c>
      <c r="B1306">
        <v>1214.1099999999999</v>
      </c>
      <c r="C1306">
        <v>355.19</v>
      </c>
      <c r="D1306">
        <v>6</v>
      </c>
      <c r="E1306" s="2" t="s">
        <v>16</v>
      </c>
      <c r="F1306" s="2" t="s">
        <v>9</v>
      </c>
      <c r="G1306" s="2" t="s">
        <v>10</v>
      </c>
      <c r="H1306" s="2" t="s">
        <v>20</v>
      </c>
      <c r="I1306" s="2">
        <f t="shared" si="40"/>
        <v>858.91999999999985</v>
      </c>
      <c r="J1306" s="2">
        <f t="shared" si="41"/>
        <v>2.4181987105492833</v>
      </c>
    </row>
    <row r="1307" spans="1:10" x14ac:dyDescent="0.3">
      <c r="A1307" s="1">
        <v>45356</v>
      </c>
      <c r="B1307">
        <v>898.58</v>
      </c>
      <c r="C1307">
        <v>322.27</v>
      </c>
      <c r="D1307">
        <v>5</v>
      </c>
      <c r="E1307" s="2" t="s">
        <v>8</v>
      </c>
      <c r="F1307" s="2" t="s">
        <v>9</v>
      </c>
      <c r="G1307" s="2" t="s">
        <v>12</v>
      </c>
      <c r="H1307" s="2" t="s">
        <v>11</v>
      </c>
      <c r="I1307" s="2">
        <f t="shared" si="40"/>
        <v>576.31000000000006</v>
      </c>
      <c r="J1307" s="2">
        <f t="shared" si="41"/>
        <v>1.7882831166413258</v>
      </c>
    </row>
    <row r="1308" spans="1:10" x14ac:dyDescent="0.3">
      <c r="A1308" s="1">
        <v>45309</v>
      </c>
      <c r="B1308">
        <v>273.52999999999997</v>
      </c>
      <c r="C1308">
        <v>195.21</v>
      </c>
      <c r="D1308">
        <v>7</v>
      </c>
      <c r="E1308" s="2" t="s">
        <v>16</v>
      </c>
      <c r="F1308" s="2" t="s">
        <v>9</v>
      </c>
      <c r="G1308" s="2" t="s">
        <v>12</v>
      </c>
      <c r="H1308" s="2" t="s">
        <v>11</v>
      </c>
      <c r="I1308" s="2">
        <f t="shared" si="40"/>
        <v>78.319999999999965</v>
      </c>
      <c r="J1308" s="2">
        <f t="shared" si="41"/>
        <v>0.40120895445930005</v>
      </c>
    </row>
    <row r="1309" spans="1:10" x14ac:dyDescent="0.3">
      <c r="A1309" s="1">
        <v>45394</v>
      </c>
      <c r="B1309">
        <v>80.81</v>
      </c>
      <c r="C1309">
        <v>253.06</v>
      </c>
      <c r="D1309">
        <v>2</v>
      </c>
      <c r="E1309" s="2" t="s">
        <v>8</v>
      </c>
      <c r="F1309" s="2" t="s">
        <v>9</v>
      </c>
      <c r="G1309" s="2" t="s">
        <v>14</v>
      </c>
      <c r="H1309" s="2" t="s">
        <v>18</v>
      </c>
      <c r="I1309" s="2">
        <f t="shared" si="40"/>
        <v>-172.25</v>
      </c>
      <c r="J1309" s="2">
        <f t="shared" si="41"/>
        <v>-0.68066861613846519</v>
      </c>
    </row>
    <row r="1310" spans="1:10" x14ac:dyDescent="0.3">
      <c r="A1310" s="1">
        <v>45343</v>
      </c>
      <c r="B1310">
        <v>152.11000000000001</v>
      </c>
      <c r="C1310">
        <v>14.19</v>
      </c>
      <c r="D1310">
        <v>5</v>
      </c>
      <c r="E1310" s="2" t="s">
        <v>8</v>
      </c>
      <c r="F1310" s="2" t="s">
        <v>9</v>
      </c>
      <c r="G1310" s="2" t="s">
        <v>19</v>
      </c>
      <c r="H1310" s="2" t="s">
        <v>20</v>
      </c>
      <c r="I1310" s="2">
        <f t="shared" si="40"/>
        <v>137.92000000000002</v>
      </c>
      <c r="J1310" s="2">
        <f t="shared" si="41"/>
        <v>9.7195207892882323</v>
      </c>
    </row>
    <row r="1311" spans="1:10" x14ac:dyDescent="0.3">
      <c r="A1311" s="1">
        <v>45318</v>
      </c>
      <c r="B1311">
        <v>320.63</v>
      </c>
      <c r="C1311">
        <v>299.12</v>
      </c>
      <c r="D1311">
        <v>6</v>
      </c>
      <c r="E1311" s="2" t="s">
        <v>13</v>
      </c>
      <c r="F1311" s="2" t="s">
        <v>9</v>
      </c>
      <c r="G1311" s="2" t="s">
        <v>12</v>
      </c>
      <c r="H1311" s="2" t="s">
        <v>18</v>
      </c>
      <c r="I1311" s="2">
        <f t="shared" si="40"/>
        <v>21.509999999999991</v>
      </c>
      <c r="J1311" s="2">
        <f t="shared" si="41"/>
        <v>7.191093875367742E-2</v>
      </c>
    </row>
    <row r="1312" spans="1:10" x14ac:dyDescent="0.3">
      <c r="A1312" s="1">
        <v>45335</v>
      </c>
      <c r="B1312">
        <v>509.85</v>
      </c>
      <c r="C1312">
        <v>199.39</v>
      </c>
      <c r="D1312">
        <v>5</v>
      </c>
      <c r="E1312" s="2" t="s">
        <v>16</v>
      </c>
      <c r="F1312" s="2" t="s">
        <v>9</v>
      </c>
      <c r="G1312" s="2" t="s">
        <v>12</v>
      </c>
      <c r="H1312" s="2" t="s">
        <v>20</v>
      </c>
      <c r="I1312" s="2">
        <f t="shared" si="40"/>
        <v>310.46000000000004</v>
      </c>
      <c r="J1312" s="2">
        <f t="shared" si="41"/>
        <v>1.5570489994483176</v>
      </c>
    </row>
    <row r="1313" spans="1:10" x14ac:dyDescent="0.3">
      <c r="A1313" s="1">
        <v>45320</v>
      </c>
      <c r="B1313">
        <v>436.77</v>
      </c>
      <c r="C1313">
        <v>353.93</v>
      </c>
      <c r="D1313">
        <v>1</v>
      </c>
      <c r="E1313" s="2" t="s">
        <v>8</v>
      </c>
      <c r="F1313" s="2" t="s">
        <v>9</v>
      </c>
      <c r="G1313" s="2" t="s">
        <v>10</v>
      </c>
      <c r="H1313" s="2" t="s">
        <v>11</v>
      </c>
      <c r="I1313" s="2">
        <f t="shared" si="40"/>
        <v>82.839999999999975</v>
      </c>
      <c r="J1313" s="2">
        <f t="shared" si="41"/>
        <v>0.23405758200774157</v>
      </c>
    </row>
    <row r="1314" spans="1:10" x14ac:dyDescent="0.3">
      <c r="A1314" s="1">
        <v>45323</v>
      </c>
      <c r="B1314">
        <v>1433.72</v>
      </c>
      <c r="C1314">
        <v>24.58</v>
      </c>
      <c r="D1314">
        <v>10</v>
      </c>
      <c r="E1314" s="2" t="s">
        <v>16</v>
      </c>
      <c r="F1314" s="2" t="s">
        <v>17</v>
      </c>
      <c r="G1314" s="2" t="s">
        <v>12</v>
      </c>
      <c r="H1314" s="2" t="s">
        <v>20</v>
      </c>
      <c r="I1314" s="2">
        <f t="shared" si="40"/>
        <v>1409.14</v>
      </c>
      <c r="J1314" s="2">
        <f t="shared" si="41"/>
        <v>57.328722538649316</v>
      </c>
    </row>
    <row r="1315" spans="1:10" x14ac:dyDescent="0.3">
      <c r="A1315" s="1">
        <v>45333</v>
      </c>
      <c r="B1315">
        <v>372.73</v>
      </c>
      <c r="C1315">
        <v>75.17</v>
      </c>
      <c r="D1315">
        <v>3</v>
      </c>
      <c r="E1315" s="2" t="s">
        <v>16</v>
      </c>
      <c r="F1315" s="2" t="s">
        <v>17</v>
      </c>
      <c r="G1315" s="2" t="s">
        <v>12</v>
      </c>
      <c r="H1315" s="2" t="s">
        <v>20</v>
      </c>
      <c r="I1315" s="2">
        <f t="shared" si="40"/>
        <v>297.56</v>
      </c>
      <c r="J1315" s="2">
        <f t="shared" si="41"/>
        <v>3.9584940800851403</v>
      </c>
    </row>
    <row r="1316" spans="1:10" x14ac:dyDescent="0.3">
      <c r="A1316" s="1">
        <v>45349</v>
      </c>
      <c r="B1316">
        <v>577</v>
      </c>
      <c r="C1316">
        <v>90.88</v>
      </c>
      <c r="D1316">
        <v>1</v>
      </c>
      <c r="E1316" s="2" t="s">
        <v>16</v>
      </c>
      <c r="F1316" s="2" t="s">
        <v>9</v>
      </c>
      <c r="G1316" s="2" t="s">
        <v>10</v>
      </c>
      <c r="H1316" s="2" t="s">
        <v>11</v>
      </c>
      <c r="I1316" s="2">
        <f t="shared" si="40"/>
        <v>486.12</v>
      </c>
      <c r="J1316" s="2">
        <f t="shared" si="41"/>
        <v>5.349031690140845</v>
      </c>
    </row>
    <row r="1317" spans="1:10" x14ac:dyDescent="0.3">
      <c r="A1317" s="1">
        <v>45377</v>
      </c>
      <c r="B1317">
        <v>1442.93</v>
      </c>
      <c r="C1317">
        <v>188.86</v>
      </c>
      <c r="D1317">
        <v>8</v>
      </c>
      <c r="E1317" s="2" t="s">
        <v>13</v>
      </c>
      <c r="F1317" s="2" t="s">
        <v>17</v>
      </c>
      <c r="G1317" s="2" t="s">
        <v>12</v>
      </c>
      <c r="H1317" s="2" t="s">
        <v>20</v>
      </c>
      <c r="I1317" s="2">
        <f t="shared" si="40"/>
        <v>1254.0700000000002</v>
      </c>
      <c r="J1317" s="2">
        <f t="shared" si="41"/>
        <v>6.6402096791273966</v>
      </c>
    </row>
    <row r="1318" spans="1:10" x14ac:dyDescent="0.3">
      <c r="A1318" s="1">
        <v>45371</v>
      </c>
      <c r="B1318">
        <v>1421.49</v>
      </c>
      <c r="C1318">
        <v>218.47</v>
      </c>
      <c r="D1318">
        <v>7</v>
      </c>
      <c r="E1318" s="2" t="s">
        <v>13</v>
      </c>
      <c r="F1318" s="2" t="s">
        <v>9</v>
      </c>
      <c r="G1318" s="2" t="s">
        <v>14</v>
      </c>
      <c r="H1318" s="2" t="s">
        <v>18</v>
      </c>
      <c r="I1318" s="2">
        <f t="shared" si="40"/>
        <v>1203.02</v>
      </c>
      <c r="J1318" s="2">
        <f t="shared" si="41"/>
        <v>5.5065684075616792</v>
      </c>
    </row>
    <row r="1319" spans="1:10" x14ac:dyDescent="0.3">
      <c r="A1319" s="1">
        <v>45371</v>
      </c>
      <c r="B1319">
        <v>1157.57</v>
      </c>
      <c r="C1319">
        <v>221.1</v>
      </c>
      <c r="D1319">
        <v>8</v>
      </c>
      <c r="E1319" s="2" t="s">
        <v>16</v>
      </c>
      <c r="F1319" s="2" t="s">
        <v>17</v>
      </c>
      <c r="G1319" s="2" t="s">
        <v>12</v>
      </c>
      <c r="H1319" s="2" t="s">
        <v>11</v>
      </c>
      <c r="I1319" s="2">
        <f t="shared" si="40"/>
        <v>936.46999999999991</v>
      </c>
      <c r="J1319" s="2">
        <f t="shared" si="41"/>
        <v>4.2355042966983261</v>
      </c>
    </row>
    <row r="1320" spans="1:10" x14ac:dyDescent="0.3">
      <c r="A1320" s="1">
        <v>45344</v>
      </c>
      <c r="B1320">
        <v>543.46</v>
      </c>
      <c r="C1320">
        <v>358.7</v>
      </c>
      <c r="D1320">
        <v>7</v>
      </c>
      <c r="E1320" s="2" t="s">
        <v>16</v>
      </c>
      <c r="F1320" s="2" t="s">
        <v>9</v>
      </c>
      <c r="G1320" s="2" t="s">
        <v>12</v>
      </c>
      <c r="H1320" s="2" t="s">
        <v>20</v>
      </c>
      <c r="I1320" s="2">
        <f t="shared" si="40"/>
        <v>184.76000000000005</v>
      </c>
      <c r="J1320" s="2">
        <f t="shared" si="41"/>
        <v>0.5150822414273768</v>
      </c>
    </row>
    <row r="1321" spans="1:10" x14ac:dyDescent="0.3">
      <c r="A1321" s="1">
        <v>45411</v>
      </c>
      <c r="B1321">
        <v>1434.05</v>
      </c>
      <c r="C1321">
        <v>173.83</v>
      </c>
      <c r="D1321">
        <v>5</v>
      </c>
      <c r="E1321" s="2" t="s">
        <v>13</v>
      </c>
      <c r="F1321" s="2" t="s">
        <v>9</v>
      </c>
      <c r="G1321" s="2" t="s">
        <v>19</v>
      </c>
      <c r="H1321" s="2" t="s">
        <v>20</v>
      </c>
      <c r="I1321" s="2">
        <f t="shared" si="40"/>
        <v>1260.22</v>
      </c>
      <c r="J1321" s="2">
        <f t="shared" si="41"/>
        <v>7.2497267445205082</v>
      </c>
    </row>
    <row r="1322" spans="1:10" x14ac:dyDescent="0.3">
      <c r="A1322" s="1">
        <v>45378</v>
      </c>
      <c r="B1322">
        <v>1204.8</v>
      </c>
      <c r="C1322">
        <v>63.19</v>
      </c>
      <c r="D1322">
        <v>7</v>
      </c>
      <c r="E1322" s="2" t="s">
        <v>13</v>
      </c>
      <c r="F1322" s="2" t="s">
        <v>17</v>
      </c>
      <c r="G1322" s="2" t="s">
        <v>10</v>
      </c>
      <c r="H1322" s="2" t="s">
        <v>11</v>
      </c>
      <c r="I1322" s="2">
        <f t="shared" si="40"/>
        <v>1141.6099999999999</v>
      </c>
      <c r="J1322" s="2">
        <f t="shared" si="41"/>
        <v>18.06630796012027</v>
      </c>
    </row>
    <row r="1323" spans="1:10" x14ac:dyDescent="0.3">
      <c r="A1323" s="1">
        <v>45338</v>
      </c>
      <c r="B1323">
        <v>469.63</v>
      </c>
      <c r="C1323">
        <v>343.14</v>
      </c>
      <c r="D1323">
        <v>9</v>
      </c>
      <c r="E1323" s="2" t="s">
        <v>8</v>
      </c>
      <c r="F1323" s="2" t="s">
        <v>17</v>
      </c>
      <c r="G1323" s="2" t="s">
        <v>14</v>
      </c>
      <c r="H1323" s="2" t="s">
        <v>18</v>
      </c>
      <c r="I1323" s="2">
        <f t="shared" si="40"/>
        <v>126.49000000000001</v>
      </c>
      <c r="J1323" s="2">
        <f t="shared" si="41"/>
        <v>0.36862505099959203</v>
      </c>
    </row>
    <row r="1324" spans="1:10" x14ac:dyDescent="0.3">
      <c r="A1324" s="1">
        <v>45359</v>
      </c>
      <c r="B1324">
        <v>951.84</v>
      </c>
      <c r="C1324">
        <v>142.31</v>
      </c>
      <c r="D1324">
        <v>5</v>
      </c>
      <c r="E1324" s="2" t="s">
        <v>16</v>
      </c>
      <c r="F1324" s="2" t="s">
        <v>9</v>
      </c>
      <c r="G1324" s="2" t="s">
        <v>10</v>
      </c>
      <c r="H1324" s="2" t="s">
        <v>18</v>
      </c>
      <c r="I1324" s="2">
        <f t="shared" si="40"/>
        <v>809.53</v>
      </c>
      <c r="J1324" s="2">
        <f t="shared" si="41"/>
        <v>5.6884969432928107</v>
      </c>
    </row>
    <row r="1325" spans="1:10" x14ac:dyDescent="0.3">
      <c r="A1325" s="1">
        <v>45329</v>
      </c>
      <c r="B1325">
        <v>430.59</v>
      </c>
      <c r="C1325">
        <v>240.14</v>
      </c>
      <c r="D1325">
        <v>9</v>
      </c>
      <c r="E1325" s="2" t="s">
        <v>16</v>
      </c>
      <c r="F1325" s="2" t="s">
        <v>9</v>
      </c>
      <c r="G1325" s="2" t="s">
        <v>14</v>
      </c>
      <c r="H1325" s="2" t="s">
        <v>20</v>
      </c>
      <c r="I1325" s="2">
        <f t="shared" si="40"/>
        <v>190.45</v>
      </c>
      <c r="J1325" s="2">
        <f t="shared" si="41"/>
        <v>0.79307903722828355</v>
      </c>
    </row>
    <row r="1326" spans="1:10" x14ac:dyDescent="0.3">
      <c r="A1326" s="1">
        <v>45312</v>
      </c>
      <c r="B1326">
        <v>919.3</v>
      </c>
      <c r="C1326">
        <v>366.4</v>
      </c>
      <c r="D1326">
        <v>7</v>
      </c>
      <c r="E1326" s="2" t="s">
        <v>8</v>
      </c>
      <c r="F1326" s="2" t="s">
        <v>17</v>
      </c>
      <c r="G1326" s="2" t="s">
        <v>14</v>
      </c>
      <c r="H1326" s="2" t="s">
        <v>11</v>
      </c>
      <c r="I1326" s="2">
        <f t="shared" si="40"/>
        <v>552.9</v>
      </c>
      <c r="J1326" s="2">
        <f t="shared" si="41"/>
        <v>1.5090065502183407</v>
      </c>
    </row>
    <row r="1327" spans="1:10" x14ac:dyDescent="0.3">
      <c r="A1327" s="1">
        <v>45306</v>
      </c>
      <c r="B1327">
        <v>1413.2</v>
      </c>
      <c r="C1327">
        <v>205.55</v>
      </c>
      <c r="D1327">
        <v>1</v>
      </c>
      <c r="E1327" s="2" t="s">
        <v>16</v>
      </c>
      <c r="F1327" s="2" t="s">
        <v>9</v>
      </c>
      <c r="G1327" s="2" t="s">
        <v>14</v>
      </c>
      <c r="H1327" s="2" t="s">
        <v>18</v>
      </c>
      <c r="I1327" s="2">
        <f t="shared" si="40"/>
        <v>1207.6500000000001</v>
      </c>
      <c r="J1327" s="2">
        <f t="shared" si="41"/>
        <v>5.8752128435903677</v>
      </c>
    </row>
    <row r="1328" spans="1:10" x14ac:dyDescent="0.3">
      <c r="A1328" s="1">
        <v>45295</v>
      </c>
      <c r="B1328">
        <v>131.61000000000001</v>
      </c>
      <c r="C1328">
        <v>154.55000000000001</v>
      </c>
      <c r="D1328">
        <v>1</v>
      </c>
      <c r="E1328" s="2" t="s">
        <v>8</v>
      </c>
      <c r="F1328" s="2" t="s">
        <v>17</v>
      </c>
      <c r="G1328" s="2" t="s">
        <v>14</v>
      </c>
      <c r="H1328" s="2" t="s">
        <v>15</v>
      </c>
      <c r="I1328" s="2">
        <f t="shared" si="40"/>
        <v>-22.939999999999998</v>
      </c>
      <c r="J1328" s="2">
        <f t="shared" si="41"/>
        <v>-0.14843092850210285</v>
      </c>
    </row>
    <row r="1329" spans="1:10" x14ac:dyDescent="0.3">
      <c r="A1329" s="1">
        <v>45299</v>
      </c>
      <c r="B1329">
        <v>1333.95</v>
      </c>
      <c r="C1329">
        <v>142.61000000000001</v>
      </c>
      <c r="D1329">
        <v>6</v>
      </c>
      <c r="E1329" s="2" t="s">
        <v>13</v>
      </c>
      <c r="F1329" s="2" t="s">
        <v>9</v>
      </c>
      <c r="G1329" s="2" t="s">
        <v>19</v>
      </c>
      <c r="H1329" s="2" t="s">
        <v>11</v>
      </c>
      <c r="I1329" s="2">
        <f t="shared" si="40"/>
        <v>1191.3400000000001</v>
      </c>
      <c r="J1329" s="2">
        <f t="shared" si="41"/>
        <v>8.3538321295841804</v>
      </c>
    </row>
    <row r="1330" spans="1:10" x14ac:dyDescent="0.3">
      <c r="A1330" s="1">
        <v>45336</v>
      </c>
      <c r="B1330">
        <v>267.64</v>
      </c>
      <c r="C1330">
        <v>255.84</v>
      </c>
      <c r="D1330">
        <v>5</v>
      </c>
      <c r="E1330" s="2" t="s">
        <v>16</v>
      </c>
      <c r="F1330" s="2" t="s">
        <v>9</v>
      </c>
      <c r="G1330" s="2" t="s">
        <v>19</v>
      </c>
      <c r="H1330" s="2" t="s">
        <v>20</v>
      </c>
      <c r="I1330" s="2">
        <f t="shared" si="40"/>
        <v>11.799999999999983</v>
      </c>
      <c r="J1330" s="2">
        <f t="shared" si="41"/>
        <v>4.6122576610381424E-2</v>
      </c>
    </row>
    <row r="1331" spans="1:10" x14ac:dyDescent="0.3">
      <c r="A1331" s="1">
        <v>45412</v>
      </c>
      <c r="B1331">
        <v>1039.93</v>
      </c>
      <c r="C1331">
        <v>233.72</v>
      </c>
      <c r="D1331">
        <v>6</v>
      </c>
      <c r="E1331" s="2" t="s">
        <v>8</v>
      </c>
      <c r="F1331" s="2" t="s">
        <v>9</v>
      </c>
      <c r="G1331" s="2" t="s">
        <v>10</v>
      </c>
      <c r="H1331" s="2" t="s">
        <v>18</v>
      </c>
      <c r="I1331" s="2">
        <f t="shared" si="40"/>
        <v>806.21</v>
      </c>
      <c r="J1331" s="2">
        <f t="shared" si="41"/>
        <v>3.4494694506246795</v>
      </c>
    </row>
    <row r="1332" spans="1:10" x14ac:dyDescent="0.3">
      <c r="A1332" s="1">
        <v>45323</v>
      </c>
      <c r="B1332">
        <v>1078.75</v>
      </c>
      <c r="C1332">
        <v>272.20999999999998</v>
      </c>
      <c r="D1332">
        <v>5</v>
      </c>
      <c r="E1332" s="2" t="s">
        <v>13</v>
      </c>
      <c r="F1332" s="2" t="s">
        <v>17</v>
      </c>
      <c r="G1332" s="2" t="s">
        <v>19</v>
      </c>
      <c r="H1332" s="2" t="s">
        <v>20</v>
      </c>
      <c r="I1332" s="2">
        <f t="shared" si="40"/>
        <v>806.54</v>
      </c>
      <c r="J1332" s="2">
        <f t="shared" si="41"/>
        <v>2.9629330296462291</v>
      </c>
    </row>
    <row r="1333" spans="1:10" x14ac:dyDescent="0.3">
      <c r="A1333" s="1">
        <v>45371</v>
      </c>
      <c r="B1333">
        <v>1487.02</v>
      </c>
      <c r="C1333">
        <v>108.13</v>
      </c>
      <c r="D1333">
        <v>3</v>
      </c>
      <c r="E1333" s="2" t="s">
        <v>8</v>
      </c>
      <c r="F1333" s="2" t="s">
        <v>9</v>
      </c>
      <c r="G1333" s="2" t="s">
        <v>12</v>
      </c>
      <c r="H1333" s="2" t="s">
        <v>20</v>
      </c>
      <c r="I1333" s="2">
        <f t="shared" si="40"/>
        <v>1378.8899999999999</v>
      </c>
      <c r="J1333" s="2">
        <f t="shared" si="41"/>
        <v>12.752150189586608</v>
      </c>
    </row>
    <row r="1334" spans="1:10" x14ac:dyDescent="0.3">
      <c r="A1334" s="1">
        <v>45349</v>
      </c>
      <c r="B1334">
        <v>157.88999999999999</v>
      </c>
      <c r="C1334">
        <v>191.29</v>
      </c>
      <c r="D1334">
        <v>6</v>
      </c>
      <c r="E1334" s="2" t="s">
        <v>8</v>
      </c>
      <c r="F1334" s="2" t="s">
        <v>17</v>
      </c>
      <c r="G1334" s="2" t="s">
        <v>19</v>
      </c>
      <c r="H1334" s="2" t="s">
        <v>11</v>
      </c>
      <c r="I1334" s="2">
        <f t="shared" si="40"/>
        <v>-33.400000000000006</v>
      </c>
      <c r="J1334" s="2">
        <f t="shared" si="41"/>
        <v>-0.17460400439123847</v>
      </c>
    </row>
    <row r="1335" spans="1:10" x14ac:dyDescent="0.3">
      <c r="A1335" s="1">
        <v>45353</v>
      </c>
      <c r="B1335">
        <v>857.32</v>
      </c>
      <c r="C1335">
        <v>198.63</v>
      </c>
      <c r="D1335">
        <v>5</v>
      </c>
      <c r="E1335" s="2" t="s">
        <v>8</v>
      </c>
      <c r="F1335" s="2" t="s">
        <v>9</v>
      </c>
      <c r="G1335" s="2" t="s">
        <v>19</v>
      </c>
      <c r="H1335" s="2" t="s">
        <v>11</v>
      </c>
      <c r="I1335" s="2">
        <f t="shared" si="40"/>
        <v>658.69</v>
      </c>
      <c r="J1335" s="2">
        <f t="shared" si="41"/>
        <v>3.3161657352867144</v>
      </c>
    </row>
    <row r="1336" spans="1:10" x14ac:dyDescent="0.3">
      <c r="A1336" s="1">
        <v>45409</v>
      </c>
      <c r="B1336">
        <v>1393.87</v>
      </c>
      <c r="C1336">
        <v>457.29</v>
      </c>
      <c r="D1336">
        <v>8</v>
      </c>
      <c r="E1336" s="2" t="s">
        <v>16</v>
      </c>
      <c r="F1336" s="2" t="s">
        <v>17</v>
      </c>
      <c r="G1336" s="2" t="s">
        <v>14</v>
      </c>
      <c r="H1336" s="2" t="s">
        <v>18</v>
      </c>
      <c r="I1336" s="2">
        <f t="shared" si="40"/>
        <v>936.57999999999993</v>
      </c>
      <c r="J1336" s="2">
        <f t="shared" si="41"/>
        <v>2.0481095147499397</v>
      </c>
    </row>
    <row r="1337" spans="1:10" x14ac:dyDescent="0.3">
      <c r="A1337" s="1">
        <v>45378</v>
      </c>
      <c r="B1337">
        <v>898.47</v>
      </c>
      <c r="C1337">
        <v>433.74</v>
      </c>
      <c r="D1337">
        <v>1</v>
      </c>
      <c r="E1337" s="2" t="s">
        <v>8</v>
      </c>
      <c r="F1337" s="2" t="s">
        <v>17</v>
      </c>
      <c r="G1337" s="2" t="s">
        <v>10</v>
      </c>
      <c r="H1337" s="2" t="s">
        <v>11</v>
      </c>
      <c r="I1337" s="2">
        <f t="shared" si="40"/>
        <v>464.73</v>
      </c>
      <c r="J1337" s="2">
        <f t="shared" si="41"/>
        <v>1.0714483331027804</v>
      </c>
    </row>
    <row r="1338" spans="1:10" x14ac:dyDescent="0.3">
      <c r="A1338" s="1">
        <v>45370</v>
      </c>
      <c r="B1338">
        <v>1105.02</v>
      </c>
      <c r="C1338">
        <v>68.44</v>
      </c>
      <c r="D1338">
        <v>3</v>
      </c>
      <c r="E1338" s="2" t="s">
        <v>13</v>
      </c>
      <c r="F1338" s="2" t="s">
        <v>9</v>
      </c>
      <c r="G1338" s="2" t="s">
        <v>12</v>
      </c>
      <c r="H1338" s="2" t="s">
        <v>18</v>
      </c>
      <c r="I1338" s="2">
        <f t="shared" si="40"/>
        <v>1036.58</v>
      </c>
      <c r="J1338" s="2">
        <f t="shared" si="41"/>
        <v>15.145821157218</v>
      </c>
    </row>
    <row r="1339" spans="1:10" x14ac:dyDescent="0.3">
      <c r="A1339" s="1">
        <v>45362</v>
      </c>
      <c r="B1339">
        <v>1201.3</v>
      </c>
      <c r="C1339">
        <v>248.33</v>
      </c>
      <c r="D1339">
        <v>1</v>
      </c>
      <c r="E1339" s="2" t="s">
        <v>16</v>
      </c>
      <c r="F1339" s="2" t="s">
        <v>9</v>
      </c>
      <c r="G1339" s="2" t="s">
        <v>10</v>
      </c>
      <c r="H1339" s="2" t="s">
        <v>15</v>
      </c>
      <c r="I1339" s="2">
        <f t="shared" si="40"/>
        <v>952.96999999999991</v>
      </c>
      <c r="J1339" s="2">
        <f t="shared" si="41"/>
        <v>3.8375145975113756</v>
      </c>
    </row>
    <row r="1340" spans="1:10" x14ac:dyDescent="0.3">
      <c r="A1340" s="1">
        <v>45334</v>
      </c>
      <c r="B1340">
        <v>1109.1500000000001</v>
      </c>
      <c r="C1340">
        <v>321.45999999999998</v>
      </c>
      <c r="D1340">
        <v>10</v>
      </c>
      <c r="E1340" s="2" t="s">
        <v>16</v>
      </c>
      <c r="F1340" s="2" t="s">
        <v>9</v>
      </c>
      <c r="G1340" s="2" t="s">
        <v>10</v>
      </c>
      <c r="H1340" s="2" t="s">
        <v>11</v>
      </c>
      <c r="I1340" s="2">
        <f t="shared" si="40"/>
        <v>787.69</v>
      </c>
      <c r="J1340" s="2">
        <f t="shared" si="41"/>
        <v>2.4503515211845954</v>
      </c>
    </row>
    <row r="1341" spans="1:10" x14ac:dyDescent="0.3">
      <c r="A1341" s="1">
        <v>45318</v>
      </c>
      <c r="B1341">
        <v>266.79000000000002</v>
      </c>
      <c r="C1341">
        <v>264.02999999999997</v>
      </c>
      <c r="D1341">
        <v>2</v>
      </c>
      <c r="E1341" s="2" t="s">
        <v>13</v>
      </c>
      <c r="F1341" s="2" t="s">
        <v>9</v>
      </c>
      <c r="G1341" s="2" t="s">
        <v>19</v>
      </c>
      <c r="H1341" s="2" t="s">
        <v>11</v>
      </c>
      <c r="I1341" s="2">
        <f t="shared" si="40"/>
        <v>2.7600000000000477</v>
      </c>
      <c r="J1341" s="2">
        <f t="shared" si="41"/>
        <v>1.0453357573003249E-2</v>
      </c>
    </row>
    <row r="1342" spans="1:10" x14ac:dyDescent="0.3">
      <c r="A1342" s="1">
        <v>45397</v>
      </c>
      <c r="B1342">
        <v>1317.57</v>
      </c>
      <c r="C1342">
        <v>249.26</v>
      </c>
      <c r="D1342">
        <v>2</v>
      </c>
      <c r="E1342" s="2" t="s">
        <v>16</v>
      </c>
      <c r="F1342" s="2" t="s">
        <v>9</v>
      </c>
      <c r="G1342" s="2" t="s">
        <v>10</v>
      </c>
      <c r="H1342" s="2" t="s">
        <v>11</v>
      </c>
      <c r="I1342" s="2">
        <f t="shared" si="40"/>
        <v>1068.31</v>
      </c>
      <c r="J1342" s="2">
        <f t="shared" si="41"/>
        <v>4.285926341972238</v>
      </c>
    </row>
    <row r="1343" spans="1:10" x14ac:dyDescent="0.3">
      <c r="A1343" s="1">
        <v>45400</v>
      </c>
      <c r="B1343">
        <v>1346.57</v>
      </c>
      <c r="C1343">
        <v>420.18</v>
      </c>
      <c r="D1343">
        <v>10</v>
      </c>
      <c r="E1343" s="2" t="s">
        <v>16</v>
      </c>
      <c r="F1343" s="2" t="s">
        <v>17</v>
      </c>
      <c r="G1343" s="2" t="s">
        <v>12</v>
      </c>
      <c r="H1343" s="2" t="s">
        <v>18</v>
      </c>
      <c r="I1343" s="2">
        <f t="shared" si="40"/>
        <v>926.38999999999987</v>
      </c>
      <c r="J1343" s="2">
        <f t="shared" si="41"/>
        <v>2.2047455852253792</v>
      </c>
    </row>
    <row r="1344" spans="1:10" x14ac:dyDescent="0.3">
      <c r="A1344" s="1">
        <v>45383</v>
      </c>
      <c r="B1344">
        <v>582.33000000000004</v>
      </c>
      <c r="C1344">
        <v>317.56</v>
      </c>
      <c r="D1344">
        <v>10</v>
      </c>
      <c r="E1344" s="2" t="s">
        <v>8</v>
      </c>
      <c r="F1344" s="2" t="s">
        <v>17</v>
      </c>
      <c r="G1344" s="2" t="s">
        <v>19</v>
      </c>
      <c r="H1344" s="2" t="s">
        <v>11</v>
      </c>
      <c r="I1344" s="2">
        <f t="shared" si="40"/>
        <v>264.77000000000004</v>
      </c>
      <c r="J1344" s="2">
        <f t="shared" si="41"/>
        <v>0.83376369819876572</v>
      </c>
    </row>
    <row r="1345" spans="1:10" x14ac:dyDescent="0.3">
      <c r="A1345" s="1">
        <v>45354</v>
      </c>
      <c r="B1345">
        <v>308.64999999999998</v>
      </c>
      <c r="C1345">
        <v>160.49</v>
      </c>
      <c r="D1345">
        <v>5</v>
      </c>
      <c r="E1345" s="2" t="s">
        <v>8</v>
      </c>
      <c r="F1345" s="2" t="s">
        <v>9</v>
      </c>
      <c r="G1345" s="2" t="s">
        <v>19</v>
      </c>
      <c r="H1345" s="2" t="s">
        <v>15</v>
      </c>
      <c r="I1345" s="2">
        <f t="shared" si="40"/>
        <v>148.15999999999997</v>
      </c>
      <c r="J1345" s="2">
        <f t="shared" si="41"/>
        <v>0.9231727833509874</v>
      </c>
    </row>
    <row r="1346" spans="1:10" x14ac:dyDescent="0.3">
      <c r="A1346" s="1">
        <v>45308</v>
      </c>
      <c r="B1346">
        <v>474.44</v>
      </c>
      <c r="C1346">
        <v>359.05</v>
      </c>
      <c r="D1346">
        <v>6</v>
      </c>
      <c r="E1346" s="2" t="s">
        <v>8</v>
      </c>
      <c r="F1346" s="2" t="s">
        <v>9</v>
      </c>
      <c r="G1346" s="2" t="s">
        <v>12</v>
      </c>
      <c r="H1346" s="2" t="s">
        <v>20</v>
      </c>
      <c r="I1346" s="2">
        <f t="shared" ref="I1346:I1409" si="42">B1346-C1346</f>
        <v>115.38999999999999</v>
      </c>
      <c r="J1346" s="2">
        <f t="shared" ref="J1346:J1409" si="43">IF(C1346=0,0,I1346/C1346)</f>
        <v>0.32137585294527221</v>
      </c>
    </row>
    <row r="1347" spans="1:10" x14ac:dyDescent="0.3">
      <c r="A1347" s="1">
        <v>45300</v>
      </c>
      <c r="B1347">
        <v>219.99</v>
      </c>
      <c r="C1347">
        <v>126.49</v>
      </c>
      <c r="D1347">
        <v>6</v>
      </c>
      <c r="E1347" s="2" t="s">
        <v>13</v>
      </c>
      <c r="F1347" s="2" t="s">
        <v>9</v>
      </c>
      <c r="G1347" s="2" t="s">
        <v>19</v>
      </c>
      <c r="H1347" s="2" t="s">
        <v>11</v>
      </c>
      <c r="I1347" s="2">
        <f t="shared" si="42"/>
        <v>93.500000000000014</v>
      </c>
      <c r="J1347" s="2">
        <f t="shared" si="43"/>
        <v>0.73918886868527167</v>
      </c>
    </row>
    <row r="1348" spans="1:10" x14ac:dyDescent="0.3">
      <c r="A1348" s="1">
        <v>45348</v>
      </c>
      <c r="B1348">
        <v>352.29</v>
      </c>
      <c r="C1348">
        <v>366.29</v>
      </c>
      <c r="D1348">
        <v>5</v>
      </c>
      <c r="E1348" s="2" t="s">
        <v>13</v>
      </c>
      <c r="F1348" s="2" t="s">
        <v>9</v>
      </c>
      <c r="G1348" s="2" t="s">
        <v>14</v>
      </c>
      <c r="H1348" s="2" t="s">
        <v>11</v>
      </c>
      <c r="I1348" s="2">
        <f t="shared" si="42"/>
        <v>-14</v>
      </c>
      <c r="J1348" s="2">
        <f t="shared" si="43"/>
        <v>-3.8221081656610881E-2</v>
      </c>
    </row>
    <row r="1349" spans="1:10" x14ac:dyDescent="0.3">
      <c r="A1349" s="1">
        <v>45314</v>
      </c>
      <c r="B1349">
        <v>1277.8499999999999</v>
      </c>
      <c r="C1349">
        <v>137.28</v>
      </c>
      <c r="D1349">
        <v>8</v>
      </c>
      <c r="E1349" s="2" t="s">
        <v>16</v>
      </c>
      <c r="F1349" s="2" t="s">
        <v>9</v>
      </c>
      <c r="G1349" s="2" t="s">
        <v>19</v>
      </c>
      <c r="H1349" s="2" t="s">
        <v>18</v>
      </c>
      <c r="I1349" s="2">
        <f t="shared" si="42"/>
        <v>1140.57</v>
      </c>
      <c r="J1349" s="2">
        <f t="shared" si="43"/>
        <v>8.3083479020979016</v>
      </c>
    </row>
    <row r="1350" spans="1:10" x14ac:dyDescent="0.3">
      <c r="A1350" s="1">
        <v>45343</v>
      </c>
      <c r="B1350">
        <v>148.16999999999999</v>
      </c>
      <c r="C1350">
        <v>403.34</v>
      </c>
      <c r="D1350">
        <v>10</v>
      </c>
      <c r="E1350" s="2" t="s">
        <v>8</v>
      </c>
      <c r="F1350" s="2" t="s">
        <v>17</v>
      </c>
      <c r="G1350" s="2" t="s">
        <v>14</v>
      </c>
      <c r="H1350" s="2" t="s">
        <v>11</v>
      </c>
      <c r="I1350" s="2">
        <f t="shared" si="42"/>
        <v>-255.17</v>
      </c>
      <c r="J1350" s="2">
        <f t="shared" si="43"/>
        <v>-0.63264243566222045</v>
      </c>
    </row>
    <row r="1351" spans="1:10" x14ac:dyDescent="0.3">
      <c r="A1351" s="1">
        <v>45322</v>
      </c>
      <c r="B1351">
        <v>708.09</v>
      </c>
      <c r="C1351">
        <v>162.29</v>
      </c>
      <c r="D1351">
        <v>8</v>
      </c>
      <c r="E1351" s="2" t="s">
        <v>13</v>
      </c>
      <c r="F1351" s="2" t="s">
        <v>17</v>
      </c>
      <c r="G1351" s="2" t="s">
        <v>19</v>
      </c>
      <c r="H1351" s="2" t="s">
        <v>15</v>
      </c>
      <c r="I1351" s="2">
        <f t="shared" si="42"/>
        <v>545.80000000000007</v>
      </c>
      <c r="J1351" s="2">
        <f t="shared" si="43"/>
        <v>3.3631154106845775</v>
      </c>
    </row>
    <row r="1352" spans="1:10" x14ac:dyDescent="0.3">
      <c r="A1352" s="1">
        <v>45321</v>
      </c>
      <c r="B1352">
        <v>517.16</v>
      </c>
      <c r="C1352">
        <v>473.36</v>
      </c>
      <c r="D1352">
        <v>8</v>
      </c>
      <c r="E1352" s="2" t="s">
        <v>13</v>
      </c>
      <c r="F1352" s="2" t="s">
        <v>9</v>
      </c>
      <c r="G1352" s="2" t="s">
        <v>19</v>
      </c>
      <c r="H1352" s="2" t="s">
        <v>20</v>
      </c>
      <c r="I1352" s="2">
        <f t="shared" si="42"/>
        <v>43.799999999999955</v>
      </c>
      <c r="J1352" s="2">
        <f t="shared" si="43"/>
        <v>9.2529998309954273E-2</v>
      </c>
    </row>
    <row r="1353" spans="1:10" x14ac:dyDescent="0.3">
      <c r="A1353" s="1">
        <v>45364</v>
      </c>
      <c r="B1353">
        <v>1419.97</v>
      </c>
      <c r="C1353">
        <v>76.69</v>
      </c>
      <c r="D1353">
        <v>2</v>
      </c>
      <c r="E1353" s="2" t="s">
        <v>8</v>
      </c>
      <c r="F1353" s="2" t="s">
        <v>9</v>
      </c>
      <c r="G1353" s="2" t="s">
        <v>10</v>
      </c>
      <c r="H1353" s="2" t="s">
        <v>18</v>
      </c>
      <c r="I1353" s="2">
        <f t="shared" si="42"/>
        <v>1343.28</v>
      </c>
      <c r="J1353" s="2">
        <f t="shared" si="43"/>
        <v>17.515712609205895</v>
      </c>
    </row>
    <row r="1354" spans="1:10" x14ac:dyDescent="0.3">
      <c r="A1354" s="1">
        <v>45348</v>
      </c>
      <c r="B1354">
        <v>613.21</v>
      </c>
      <c r="C1354">
        <v>423.37</v>
      </c>
      <c r="D1354">
        <v>0</v>
      </c>
      <c r="E1354" s="2" t="s">
        <v>8</v>
      </c>
      <c r="F1354" s="2" t="s">
        <v>17</v>
      </c>
      <c r="G1354" s="2" t="s">
        <v>14</v>
      </c>
      <c r="H1354" s="2" t="s">
        <v>18</v>
      </c>
      <c r="I1354" s="2">
        <f t="shared" si="42"/>
        <v>189.84000000000003</v>
      </c>
      <c r="J1354" s="2">
        <f t="shared" si="43"/>
        <v>0.44840210690412646</v>
      </c>
    </row>
    <row r="1355" spans="1:10" x14ac:dyDescent="0.3">
      <c r="A1355" s="1">
        <v>45311</v>
      </c>
      <c r="B1355">
        <v>1152.72</v>
      </c>
      <c r="C1355">
        <v>161.72</v>
      </c>
      <c r="D1355">
        <v>9</v>
      </c>
      <c r="E1355" s="2" t="s">
        <v>16</v>
      </c>
      <c r="F1355" s="2" t="s">
        <v>17</v>
      </c>
      <c r="G1355" s="2" t="s">
        <v>12</v>
      </c>
      <c r="H1355" s="2" t="s">
        <v>11</v>
      </c>
      <c r="I1355" s="2">
        <f t="shared" si="42"/>
        <v>991</v>
      </c>
      <c r="J1355" s="2">
        <f t="shared" si="43"/>
        <v>6.1278753400939898</v>
      </c>
    </row>
    <row r="1356" spans="1:10" x14ac:dyDescent="0.3">
      <c r="A1356" s="1">
        <v>45347</v>
      </c>
      <c r="B1356">
        <v>177.14</v>
      </c>
      <c r="C1356">
        <v>213.32</v>
      </c>
      <c r="D1356">
        <v>0</v>
      </c>
      <c r="E1356" s="2" t="s">
        <v>16</v>
      </c>
      <c r="F1356" s="2" t="s">
        <v>9</v>
      </c>
      <c r="G1356" s="2" t="s">
        <v>10</v>
      </c>
      <c r="H1356" s="2" t="s">
        <v>15</v>
      </c>
      <c r="I1356" s="2">
        <f t="shared" si="42"/>
        <v>-36.180000000000007</v>
      </c>
      <c r="J1356" s="2">
        <f t="shared" si="43"/>
        <v>-0.16960435027189202</v>
      </c>
    </row>
    <row r="1357" spans="1:10" x14ac:dyDescent="0.3">
      <c r="A1357" s="1">
        <v>45301</v>
      </c>
      <c r="B1357">
        <v>1453.89</v>
      </c>
      <c r="C1357">
        <v>209.65</v>
      </c>
      <c r="D1357">
        <v>5</v>
      </c>
      <c r="E1357" s="2" t="s">
        <v>8</v>
      </c>
      <c r="F1357" s="2" t="s">
        <v>9</v>
      </c>
      <c r="G1357" s="2" t="s">
        <v>14</v>
      </c>
      <c r="H1357" s="2" t="s">
        <v>15</v>
      </c>
      <c r="I1357" s="2">
        <f t="shared" si="42"/>
        <v>1244.24</v>
      </c>
      <c r="J1357" s="2">
        <f t="shared" si="43"/>
        <v>5.9348437872644881</v>
      </c>
    </row>
    <row r="1358" spans="1:10" x14ac:dyDescent="0.3">
      <c r="A1358" s="1">
        <v>45373</v>
      </c>
      <c r="B1358">
        <v>603.1</v>
      </c>
      <c r="C1358">
        <v>125.91</v>
      </c>
      <c r="D1358">
        <v>0</v>
      </c>
      <c r="E1358" s="2" t="s">
        <v>16</v>
      </c>
      <c r="F1358" s="2" t="s">
        <v>9</v>
      </c>
      <c r="G1358" s="2" t="s">
        <v>19</v>
      </c>
      <c r="H1358" s="2" t="s">
        <v>18</v>
      </c>
      <c r="I1358" s="2">
        <f t="shared" si="42"/>
        <v>477.19000000000005</v>
      </c>
      <c r="J1358" s="2">
        <f t="shared" si="43"/>
        <v>3.789929314589787</v>
      </c>
    </row>
    <row r="1359" spans="1:10" x14ac:dyDescent="0.3">
      <c r="A1359" s="1">
        <v>45405</v>
      </c>
      <c r="B1359">
        <v>308.83999999999997</v>
      </c>
      <c r="C1359">
        <v>21.34</v>
      </c>
      <c r="D1359">
        <v>4</v>
      </c>
      <c r="E1359" s="2" t="s">
        <v>16</v>
      </c>
      <c r="F1359" s="2" t="s">
        <v>9</v>
      </c>
      <c r="G1359" s="2" t="s">
        <v>19</v>
      </c>
      <c r="H1359" s="2" t="s">
        <v>20</v>
      </c>
      <c r="I1359" s="2">
        <f t="shared" si="42"/>
        <v>287.5</v>
      </c>
      <c r="J1359" s="2">
        <f t="shared" si="43"/>
        <v>13.472352389878163</v>
      </c>
    </row>
    <row r="1360" spans="1:10" x14ac:dyDescent="0.3">
      <c r="A1360" s="1">
        <v>45305</v>
      </c>
      <c r="B1360">
        <v>1031.71</v>
      </c>
      <c r="C1360">
        <v>476.39</v>
      </c>
      <c r="D1360">
        <v>1</v>
      </c>
      <c r="E1360" s="2" t="s">
        <v>13</v>
      </c>
      <c r="F1360" s="2" t="s">
        <v>9</v>
      </c>
      <c r="G1360" s="2" t="s">
        <v>12</v>
      </c>
      <c r="H1360" s="2" t="s">
        <v>15</v>
      </c>
      <c r="I1360" s="2">
        <f t="shared" si="42"/>
        <v>555.32000000000005</v>
      </c>
      <c r="J1360" s="2">
        <f t="shared" si="43"/>
        <v>1.1656835785805748</v>
      </c>
    </row>
    <row r="1361" spans="1:10" x14ac:dyDescent="0.3">
      <c r="A1361" s="1">
        <v>45354</v>
      </c>
      <c r="B1361">
        <v>581.65</v>
      </c>
      <c r="C1361">
        <v>496.88</v>
      </c>
      <c r="D1361">
        <v>10</v>
      </c>
      <c r="E1361" s="2" t="s">
        <v>13</v>
      </c>
      <c r="F1361" s="2" t="s">
        <v>9</v>
      </c>
      <c r="G1361" s="2" t="s">
        <v>19</v>
      </c>
      <c r="H1361" s="2" t="s">
        <v>18</v>
      </c>
      <c r="I1361" s="2">
        <f t="shared" si="42"/>
        <v>84.769999999999982</v>
      </c>
      <c r="J1361" s="2">
        <f t="shared" si="43"/>
        <v>0.17060457253260342</v>
      </c>
    </row>
    <row r="1362" spans="1:10" x14ac:dyDescent="0.3">
      <c r="A1362" s="1">
        <v>45362</v>
      </c>
      <c r="B1362">
        <v>141.21</v>
      </c>
      <c r="C1362">
        <v>59.96</v>
      </c>
      <c r="D1362">
        <v>1</v>
      </c>
      <c r="E1362" s="2" t="s">
        <v>8</v>
      </c>
      <c r="F1362" s="2" t="s">
        <v>9</v>
      </c>
      <c r="G1362" s="2" t="s">
        <v>10</v>
      </c>
      <c r="H1362" s="2" t="s">
        <v>11</v>
      </c>
      <c r="I1362" s="2">
        <f t="shared" si="42"/>
        <v>81.25</v>
      </c>
      <c r="J1362" s="2">
        <f t="shared" si="43"/>
        <v>1.3550700466977985</v>
      </c>
    </row>
    <row r="1363" spans="1:10" x14ac:dyDescent="0.3">
      <c r="A1363" s="1">
        <v>45319</v>
      </c>
      <c r="B1363">
        <v>1170.8699999999999</v>
      </c>
      <c r="C1363">
        <v>38.9</v>
      </c>
      <c r="D1363">
        <v>4</v>
      </c>
      <c r="E1363" s="2" t="s">
        <v>8</v>
      </c>
      <c r="F1363" s="2" t="s">
        <v>9</v>
      </c>
      <c r="G1363" s="2" t="s">
        <v>14</v>
      </c>
      <c r="H1363" s="2" t="s">
        <v>15</v>
      </c>
      <c r="I1363" s="2">
        <f t="shared" si="42"/>
        <v>1131.9699999999998</v>
      </c>
      <c r="J1363" s="2">
        <f t="shared" si="43"/>
        <v>29.099485861182515</v>
      </c>
    </row>
    <row r="1364" spans="1:10" x14ac:dyDescent="0.3">
      <c r="A1364" s="1">
        <v>45358</v>
      </c>
      <c r="B1364">
        <v>1447.24</v>
      </c>
      <c r="C1364">
        <v>490.49</v>
      </c>
      <c r="D1364">
        <v>10</v>
      </c>
      <c r="E1364" s="2" t="s">
        <v>8</v>
      </c>
      <c r="F1364" s="2" t="s">
        <v>9</v>
      </c>
      <c r="G1364" s="2" t="s">
        <v>19</v>
      </c>
      <c r="H1364" s="2" t="s">
        <v>18</v>
      </c>
      <c r="I1364" s="2">
        <f t="shared" si="42"/>
        <v>956.75</v>
      </c>
      <c r="J1364" s="2">
        <f t="shared" si="43"/>
        <v>1.950600419988175</v>
      </c>
    </row>
    <row r="1365" spans="1:10" x14ac:dyDescent="0.3">
      <c r="A1365" s="1">
        <v>45369</v>
      </c>
      <c r="B1365">
        <v>239.28</v>
      </c>
      <c r="C1365">
        <v>39.01</v>
      </c>
      <c r="D1365">
        <v>0</v>
      </c>
      <c r="E1365" s="2" t="s">
        <v>16</v>
      </c>
      <c r="F1365" s="2" t="s">
        <v>9</v>
      </c>
      <c r="G1365" s="2" t="s">
        <v>12</v>
      </c>
      <c r="H1365" s="2" t="s">
        <v>15</v>
      </c>
      <c r="I1365" s="2">
        <f t="shared" si="42"/>
        <v>200.27</v>
      </c>
      <c r="J1365" s="2">
        <f t="shared" si="43"/>
        <v>5.13381184311715</v>
      </c>
    </row>
    <row r="1366" spans="1:10" x14ac:dyDescent="0.3">
      <c r="A1366" s="1">
        <v>45325</v>
      </c>
      <c r="B1366">
        <v>55.09</v>
      </c>
      <c r="C1366">
        <v>191.8</v>
      </c>
      <c r="D1366">
        <v>8</v>
      </c>
      <c r="E1366" s="2" t="s">
        <v>8</v>
      </c>
      <c r="F1366" s="2" t="s">
        <v>9</v>
      </c>
      <c r="G1366" s="2" t="s">
        <v>19</v>
      </c>
      <c r="H1366" s="2" t="s">
        <v>20</v>
      </c>
      <c r="I1366" s="2">
        <f t="shared" si="42"/>
        <v>-136.71</v>
      </c>
      <c r="J1366" s="2">
        <f t="shared" si="43"/>
        <v>-0.71277372262773719</v>
      </c>
    </row>
    <row r="1367" spans="1:10" x14ac:dyDescent="0.3">
      <c r="A1367" s="1">
        <v>45297</v>
      </c>
      <c r="B1367">
        <v>593.29</v>
      </c>
      <c r="C1367">
        <v>176.11</v>
      </c>
      <c r="D1367">
        <v>3</v>
      </c>
      <c r="E1367" s="2" t="s">
        <v>13</v>
      </c>
      <c r="F1367" s="2" t="s">
        <v>9</v>
      </c>
      <c r="G1367" s="2" t="s">
        <v>19</v>
      </c>
      <c r="H1367" s="2" t="s">
        <v>20</v>
      </c>
      <c r="I1367" s="2">
        <f t="shared" si="42"/>
        <v>417.17999999999995</v>
      </c>
      <c r="J1367" s="2">
        <f t="shared" si="43"/>
        <v>2.3688603713588092</v>
      </c>
    </row>
    <row r="1368" spans="1:10" x14ac:dyDescent="0.3">
      <c r="A1368" s="1">
        <v>45388</v>
      </c>
      <c r="B1368">
        <v>1175.44</v>
      </c>
      <c r="C1368">
        <v>394.43</v>
      </c>
      <c r="D1368">
        <v>3</v>
      </c>
      <c r="E1368" s="2" t="s">
        <v>16</v>
      </c>
      <c r="F1368" s="2" t="s">
        <v>9</v>
      </c>
      <c r="G1368" s="2" t="s">
        <v>12</v>
      </c>
      <c r="H1368" s="2" t="s">
        <v>11</v>
      </c>
      <c r="I1368" s="2">
        <f t="shared" si="42"/>
        <v>781.01</v>
      </c>
      <c r="J1368" s="2">
        <f t="shared" si="43"/>
        <v>1.9800978627386354</v>
      </c>
    </row>
    <row r="1369" spans="1:10" x14ac:dyDescent="0.3">
      <c r="A1369" s="1">
        <v>45300</v>
      </c>
      <c r="B1369">
        <v>1245.6199999999999</v>
      </c>
      <c r="C1369">
        <v>387.49</v>
      </c>
      <c r="D1369">
        <v>0</v>
      </c>
      <c r="E1369" s="2" t="s">
        <v>13</v>
      </c>
      <c r="F1369" s="2" t="s">
        <v>17</v>
      </c>
      <c r="G1369" s="2" t="s">
        <v>10</v>
      </c>
      <c r="H1369" s="2" t="s">
        <v>15</v>
      </c>
      <c r="I1369" s="2">
        <f t="shared" si="42"/>
        <v>858.12999999999988</v>
      </c>
      <c r="J1369" s="2">
        <f t="shared" si="43"/>
        <v>2.214586182869235</v>
      </c>
    </row>
    <row r="1370" spans="1:10" x14ac:dyDescent="0.3">
      <c r="A1370" s="1">
        <v>45317</v>
      </c>
      <c r="B1370">
        <v>504.77</v>
      </c>
      <c r="C1370">
        <v>13.81</v>
      </c>
      <c r="D1370">
        <v>5</v>
      </c>
      <c r="E1370" s="2" t="s">
        <v>13</v>
      </c>
      <c r="F1370" s="2" t="s">
        <v>17</v>
      </c>
      <c r="G1370" s="2" t="s">
        <v>12</v>
      </c>
      <c r="H1370" s="2" t="s">
        <v>20</v>
      </c>
      <c r="I1370" s="2">
        <f t="shared" si="42"/>
        <v>490.96</v>
      </c>
      <c r="J1370" s="2">
        <f t="shared" si="43"/>
        <v>35.551049963794348</v>
      </c>
    </row>
    <row r="1371" spans="1:10" x14ac:dyDescent="0.3">
      <c r="A1371" s="1">
        <v>45313</v>
      </c>
      <c r="B1371">
        <v>490.4</v>
      </c>
      <c r="C1371">
        <v>402.67</v>
      </c>
      <c r="D1371">
        <v>3</v>
      </c>
      <c r="E1371" s="2" t="s">
        <v>8</v>
      </c>
      <c r="F1371" s="2" t="s">
        <v>9</v>
      </c>
      <c r="G1371" s="2" t="s">
        <v>12</v>
      </c>
      <c r="H1371" s="2" t="s">
        <v>18</v>
      </c>
      <c r="I1371" s="2">
        <f t="shared" si="42"/>
        <v>87.729999999999961</v>
      </c>
      <c r="J1371" s="2">
        <f t="shared" si="43"/>
        <v>0.21787071299078639</v>
      </c>
    </row>
    <row r="1372" spans="1:10" x14ac:dyDescent="0.3">
      <c r="A1372" s="1">
        <v>45357</v>
      </c>
      <c r="B1372">
        <v>1493.95</v>
      </c>
      <c r="C1372">
        <v>356.71</v>
      </c>
      <c r="D1372">
        <v>1</v>
      </c>
      <c r="E1372" s="2" t="s">
        <v>13</v>
      </c>
      <c r="F1372" s="2" t="s">
        <v>17</v>
      </c>
      <c r="G1372" s="2" t="s">
        <v>10</v>
      </c>
      <c r="H1372" s="2" t="s">
        <v>20</v>
      </c>
      <c r="I1372" s="2">
        <f t="shared" si="42"/>
        <v>1137.24</v>
      </c>
      <c r="J1372" s="2">
        <f t="shared" si="43"/>
        <v>3.1881360208572791</v>
      </c>
    </row>
    <row r="1373" spans="1:10" x14ac:dyDescent="0.3">
      <c r="A1373" s="1">
        <v>45408</v>
      </c>
      <c r="B1373">
        <v>1011.05</v>
      </c>
      <c r="C1373">
        <v>41.07</v>
      </c>
      <c r="D1373">
        <v>7</v>
      </c>
      <c r="E1373" s="2" t="s">
        <v>8</v>
      </c>
      <c r="F1373" s="2" t="s">
        <v>17</v>
      </c>
      <c r="G1373" s="2" t="s">
        <v>19</v>
      </c>
      <c r="H1373" s="2" t="s">
        <v>20</v>
      </c>
      <c r="I1373" s="2">
        <f t="shared" si="42"/>
        <v>969.9799999999999</v>
      </c>
      <c r="J1373" s="2">
        <f t="shared" si="43"/>
        <v>23.617725833942046</v>
      </c>
    </row>
    <row r="1374" spans="1:10" x14ac:dyDescent="0.3">
      <c r="A1374" s="1">
        <v>45355</v>
      </c>
      <c r="B1374">
        <v>642.80999999999995</v>
      </c>
      <c r="C1374">
        <v>18.47</v>
      </c>
      <c r="D1374">
        <v>7</v>
      </c>
      <c r="E1374" s="2" t="s">
        <v>8</v>
      </c>
      <c r="F1374" s="2" t="s">
        <v>17</v>
      </c>
      <c r="G1374" s="2" t="s">
        <v>10</v>
      </c>
      <c r="H1374" s="2" t="s">
        <v>20</v>
      </c>
      <c r="I1374" s="2">
        <f t="shared" si="42"/>
        <v>624.33999999999992</v>
      </c>
      <c r="J1374" s="2">
        <f t="shared" si="43"/>
        <v>33.802923659989169</v>
      </c>
    </row>
    <row r="1375" spans="1:10" x14ac:dyDescent="0.3">
      <c r="A1375" s="1">
        <v>45302</v>
      </c>
      <c r="B1375">
        <v>1385.51</v>
      </c>
      <c r="C1375">
        <v>300.32</v>
      </c>
      <c r="D1375">
        <v>2</v>
      </c>
      <c r="E1375" s="2" t="s">
        <v>8</v>
      </c>
      <c r="F1375" s="2" t="s">
        <v>17</v>
      </c>
      <c r="G1375" s="2" t="s">
        <v>12</v>
      </c>
      <c r="H1375" s="2" t="s">
        <v>20</v>
      </c>
      <c r="I1375" s="2">
        <f t="shared" si="42"/>
        <v>1085.19</v>
      </c>
      <c r="J1375" s="2">
        <f t="shared" si="43"/>
        <v>3.6134456579648377</v>
      </c>
    </row>
    <row r="1376" spans="1:10" x14ac:dyDescent="0.3">
      <c r="A1376" s="1">
        <v>45386</v>
      </c>
      <c r="B1376">
        <v>66.209999999999994</v>
      </c>
      <c r="C1376">
        <v>371.94</v>
      </c>
      <c r="D1376">
        <v>6</v>
      </c>
      <c r="E1376" s="2" t="s">
        <v>16</v>
      </c>
      <c r="F1376" s="2" t="s">
        <v>17</v>
      </c>
      <c r="G1376" s="2" t="s">
        <v>12</v>
      </c>
      <c r="H1376" s="2" t="s">
        <v>20</v>
      </c>
      <c r="I1376" s="2">
        <f t="shared" si="42"/>
        <v>-305.73</v>
      </c>
      <c r="J1376" s="2">
        <f t="shared" si="43"/>
        <v>-0.82198741732537517</v>
      </c>
    </row>
    <row r="1377" spans="1:10" x14ac:dyDescent="0.3">
      <c r="A1377" s="1">
        <v>45296</v>
      </c>
      <c r="B1377">
        <v>1245.28</v>
      </c>
      <c r="C1377">
        <v>127.23</v>
      </c>
      <c r="D1377">
        <v>10</v>
      </c>
      <c r="E1377" s="2" t="s">
        <v>13</v>
      </c>
      <c r="F1377" s="2" t="s">
        <v>9</v>
      </c>
      <c r="G1377" s="2" t="s">
        <v>10</v>
      </c>
      <c r="H1377" s="2" t="s">
        <v>20</v>
      </c>
      <c r="I1377" s="2">
        <f t="shared" si="42"/>
        <v>1118.05</v>
      </c>
      <c r="J1377" s="2">
        <f t="shared" si="43"/>
        <v>8.7876287039220298</v>
      </c>
    </row>
    <row r="1378" spans="1:10" x14ac:dyDescent="0.3">
      <c r="A1378" s="1">
        <v>45410</v>
      </c>
      <c r="B1378">
        <v>1011.81</v>
      </c>
      <c r="C1378">
        <v>38.57</v>
      </c>
      <c r="D1378">
        <v>7</v>
      </c>
      <c r="E1378" s="2" t="s">
        <v>16</v>
      </c>
      <c r="F1378" s="2" t="s">
        <v>9</v>
      </c>
      <c r="G1378" s="2" t="s">
        <v>19</v>
      </c>
      <c r="H1378" s="2" t="s">
        <v>11</v>
      </c>
      <c r="I1378" s="2">
        <f t="shared" si="42"/>
        <v>973.2399999999999</v>
      </c>
      <c r="J1378" s="2">
        <f t="shared" si="43"/>
        <v>25.233082706766915</v>
      </c>
    </row>
    <row r="1379" spans="1:10" x14ac:dyDescent="0.3">
      <c r="A1379" s="1">
        <v>45411</v>
      </c>
      <c r="B1379">
        <v>1024.92</v>
      </c>
      <c r="C1379">
        <v>70.38</v>
      </c>
      <c r="D1379">
        <v>7</v>
      </c>
      <c r="E1379" s="2" t="s">
        <v>16</v>
      </c>
      <c r="F1379" s="2" t="s">
        <v>17</v>
      </c>
      <c r="G1379" s="2" t="s">
        <v>10</v>
      </c>
      <c r="H1379" s="2" t="s">
        <v>15</v>
      </c>
      <c r="I1379" s="2">
        <f t="shared" si="42"/>
        <v>954.54000000000008</v>
      </c>
      <c r="J1379" s="2">
        <f t="shared" si="43"/>
        <v>13.562659846547316</v>
      </c>
    </row>
    <row r="1380" spans="1:10" x14ac:dyDescent="0.3">
      <c r="A1380" s="1">
        <v>45403</v>
      </c>
      <c r="B1380">
        <v>634.49</v>
      </c>
      <c r="C1380">
        <v>105.06</v>
      </c>
      <c r="D1380">
        <v>1</v>
      </c>
      <c r="E1380" s="2" t="s">
        <v>13</v>
      </c>
      <c r="F1380" s="2" t="s">
        <v>17</v>
      </c>
      <c r="G1380" s="2" t="s">
        <v>19</v>
      </c>
      <c r="H1380" s="2" t="s">
        <v>20</v>
      </c>
      <c r="I1380" s="2">
        <f t="shared" si="42"/>
        <v>529.43000000000006</v>
      </c>
      <c r="J1380" s="2">
        <f t="shared" si="43"/>
        <v>5.0393108699790599</v>
      </c>
    </row>
    <row r="1381" spans="1:10" x14ac:dyDescent="0.3">
      <c r="A1381" s="1">
        <v>45310</v>
      </c>
      <c r="B1381">
        <v>1085.55</v>
      </c>
      <c r="C1381">
        <v>411.7</v>
      </c>
      <c r="D1381">
        <v>10</v>
      </c>
      <c r="E1381" s="2" t="s">
        <v>16</v>
      </c>
      <c r="F1381" s="2" t="s">
        <v>9</v>
      </c>
      <c r="G1381" s="2" t="s">
        <v>10</v>
      </c>
      <c r="H1381" s="2" t="s">
        <v>11</v>
      </c>
      <c r="I1381" s="2">
        <f t="shared" si="42"/>
        <v>673.84999999999991</v>
      </c>
      <c r="J1381" s="2">
        <f t="shared" si="43"/>
        <v>1.6367500607238279</v>
      </c>
    </row>
    <row r="1382" spans="1:10" x14ac:dyDescent="0.3">
      <c r="A1382" s="1">
        <v>45384</v>
      </c>
      <c r="B1382">
        <v>946.69</v>
      </c>
      <c r="C1382">
        <v>411.4</v>
      </c>
      <c r="D1382">
        <v>5</v>
      </c>
      <c r="E1382" s="2" t="s">
        <v>13</v>
      </c>
      <c r="F1382" s="2" t="s">
        <v>17</v>
      </c>
      <c r="G1382" s="2" t="s">
        <v>12</v>
      </c>
      <c r="H1382" s="2" t="s">
        <v>15</v>
      </c>
      <c r="I1382" s="2">
        <f t="shared" si="42"/>
        <v>535.29000000000008</v>
      </c>
      <c r="J1382" s="2">
        <f t="shared" si="43"/>
        <v>1.3011424404472536</v>
      </c>
    </row>
    <row r="1383" spans="1:10" x14ac:dyDescent="0.3">
      <c r="A1383" s="1">
        <v>45299</v>
      </c>
      <c r="B1383">
        <v>496.75</v>
      </c>
      <c r="C1383">
        <v>341.83</v>
      </c>
      <c r="D1383">
        <v>9</v>
      </c>
      <c r="E1383" s="2" t="s">
        <v>13</v>
      </c>
      <c r="F1383" s="2" t="s">
        <v>17</v>
      </c>
      <c r="G1383" s="2" t="s">
        <v>19</v>
      </c>
      <c r="H1383" s="2" t="s">
        <v>15</v>
      </c>
      <c r="I1383" s="2">
        <f t="shared" si="42"/>
        <v>154.92000000000002</v>
      </c>
      <c r="J1383" s="2">
        <f t="shared" si="43"/>
        <v>0.4532077348389551</v>
      </c>
    </row>
    <row r="1384" spans="1:10" x14ac:dyDescent="0.3">
      <c r="A1384" s="1">
        <v>45384</v>
      </c>
      <c r="B1384">
        <v>1143.32</v>
      </c>
      <c r="C1384">
        <v>166.55</v>
      </c>
      <c r="D1384">
        <v>5</v>
      </c>
      <c r="E1384" s="2" t="s">
        <v>16</v>
      </c>
      <c r="F1384" s="2" t="s">
        <v>9</v>
      </c>
      <c r="G1384" s="2" t="s">
        <v>19</v>
      </c>
      <c r="H1384" s="2" t="s">
        <v>15</v>
      </c>
      <c r="I1384" s="2">
        <f t="shared" si="42"/>
        <v>976.77</v>
      </c>
      <c r="J1384" s="2">
        <f t="shared" si="43"/>
        <v>5.8647253077154007</v>
      </c>
    </row>
    <row r="1385" spans="1:10" x14ac:dyDescent="0.3">
      <c r="A1385" s="1">
        <v>45300</v>
      </c>
      <c r="B1385">
        <v>1403.35</v>
      </c>
      <c r="C1385">
        <v>167.33</v>
      </c>
      <c r="D1385">
        <v>4</v>
      </c>
      <c r="E1385" s="2" t="s">
        <v>16</v>
      </c>
      <c r="F1385" s="2" t="s">
        <v>17</v>
      </c>
      <c r="G1385" s="2" t="s">
        <v>12</v>
      </c>
      <c r="H1385" s="2" t="s">
        <v>20</v>
      </c>
      <c r="I1385" s="2">
        <f t="shared" si="42"/>
        <v>1236.02</v>
      </c>
      <c r="J1385" s="2">
        <f t="shared" si="43"/>
        <v>7.386720851012968</v>
      </c>
    </row>
    <row r="1386" spans="1:10" x14ac:dyDescent="0.3">
      <c r="A1386" s="1">
        <v>45397</v>
      </c>
      <c r="B1386">
        <v>329.32</v>
      </c>
      <c r="C1386">
        <v>354.68</v>
      </c>
      <c r="D1386">
        <v>5</v>
      </c>
      <c r="E1386" s="2" t="s">
        <v>13</v>
      </c>
      <c r="F1386" s="2" t="s">
        <v>17</v>
      </c>
      <c r="G1386" s="2" t="s">
        <v>12</v>
      </c>
      <c r="H1386" s="2" t="s">
        <v>20</v>
      </c>
      <c r="I1386" s="2">
        <f t="shared" si="42"/>
        <v>-25.360000000000014</v>
      </c>
      <c r="J1386" s="2">
        <f t="shared" si="43"/>
        <v>-7.1501071388293716E-2</v>
      </c>
    </row>
    <row r="1387" spans="1:10" x14ac:dyDescent="0.3">
      <c r="A1387" s="1">
        <v>45400</v>
      </c>
      <c r="B1387">
        <v>1248.82</v>
      </c>
      <c r="C1387">
        <v>264.61</v>
      </c>
      <c r="D1387">
        <v>7</v>
      </c>
      <c r="E1387" s="2" t="s">
        <v>13</v>
      </c>
      <c r="F1387" s="2" t="s">
        <v>9</v>
      </c>
      <c r="G1387" s="2" t="s">
        <v>14</v>
      </c>
      <c r="H1387" s="2" t="s">
        <v>15</v>
      </c>
      <c r="I1387" s="2">
        <f t="shared" si="42"/>
        <v>984.20999999999992</v>
      </c>
      <c r="J1387" s="2">
        <f t="shared" si="43"/>
        <v>3.7194739427837189</v>
      </c>
    </row>
    <row r="1388" spans="1:10" x14ac:dyDescent="0.3">
      <c r="A1388" s="1">
        <v>45351</v>
      </c>
      <c r="B1388">
        <v>1156.03</v>
      </c>
      <c r="C1388">
        <v>241.67</v>
      </c>
      <c r="D1388">
        <v>7</v>
      </c>
      <c r="E1388" s="2" t="s">
        <v>8</v>
      </c>
      <c r="F1388" s="2" t="s">
        <v>17</v>
      </c>
      <c r="G1388" s="2" t="s">
        <v>12</v>
      </c>
      <c r="H1388" s="2" t="s">
        <v>18</v>
      </c>
      <c r="I1388" s="2">
        <f t="shared" si="42"/>
        <v>914.36</v>
      </c>
      <c r="J1388" s="2">
        <f t="shared" si="43"/>
        <v>3.7835064343940088</v>
      </c>
    </row>
    <row r="1389" spans="1:10" x14ac:dyDescent="0.3">
      <c r="A1389" s="1">
        <v>45388</v>
      </c>
      <c r="B1389">
        <v>1344.39</v>
      </c>
      <c r="C1389">
        <v>187.2</v>
      </c>
      <c r="D1389">
        <v>3</v>
      </c>
      <c r="E1389" s="2" t="s">
        <v>8</v>
      </c>
      <c r="F1389" s="2" t="s">
        <v>17</v>
      </c>
      <c r="G1389" s="2" t="s">
        <v>12</v>
      </c>
      <c r="H1389" s="2" t="s">
        <v>15</v>
      </c>
      <c r="I1389" s="2">
        <f t="shared" si="42"/>
        <v>1157.19</v>
      </c>
      <c r="J1389" s="2">
        <f t="shared" si="43"/>
        <v>6.1815705128205138</v>
      </c>
    </row>
    <row r="1390" spans="1:10" x14ac:dyDescent="0.3">
      <c r="A1390" s="1">
        <v>45343</v>
      </c>
      <c r="B1390">
        <v>892.23</v>
      </c>
      <c r="C1390">
        <v>358.79</v>
      </c>
      <c r="D1390">
        <v>7</v>
      </c>
      <c r="E1390" s="2" t="s">
        <v>8</v>
      </c>
      <c r="F1390" s="2" t="s">
        <v>9</v>
      </c>
      <c r="G1390" s="2" t="s">
        <v>14</v>
      </c>
      <c r="H1390" s="2" t="s">
        <v>20</v>
      </c>
      <c r="I1390" s="2">
        <f t="shared" si="42"/>
        <v>533.44000000000005</v>
      </c>
      <c r="J1390" s="2">
        <f t="shared" si="43"/>
        <v>1.4867749937289223</v>
      </c>
    </row>
    <row r="1391" spans="1:10" x14ac:dyDescent="0.3">
      <c r="A1391" s="1">
        <v>45346</v>
      </c>
      <c r="B1391">
        <v>788.55</v>
      </c>
      <c r="C1391">
        <v>274.89999999999998</v>
      </c>
      <c r="D1391">
        <v>6</v>
      </c>
      <c r="E1391" s="2" t="s">
        <v>16</v>
      </c>
      <c r="F1391" s="2" t="s">
        <v>9</v>
      </c>
      <c r="G1391" s="2" t="s">
        <v>10</v>
      </c>
      <c r="H1391" s="2" t="s">
        <v>15</v>
      </c>
      <c r="I1391" s="2">
        <f t="shared" si="42"/>
        <v>513.65</v>
      </c>
      <c r="J1391" s="2">
        <f t="shared" si="43"/>
        <v>1.8684976355038196</v>
      </c>
    </row>
    <row r="1392" spans="1:10" x14ac:dyDescent="0.3">
      <c r="A1392" s="1">
        <v>45395</v>
      </c>
      <c r="B1392">
        <v>1197.73</v>
      </c>
      <c r="C1392">
        <v>453.63</v>
      </c>
      <c r="D1392">
        <v>2</v>
      </c>
      <c r="E1392" s="2" t="s">
        <v>16</v>
      </c>
      <c r="F1392" s="2" t="s">
        <v>9</v>
      </c>
      <c r="G1392" s="2" t="s">
        <v>12</v>
      </c>
      <c r="H1392" s="2" t="s">
        <v>15</v>
      </c>
      <c r="I1392" s="2">
        <f t="shared" si="42"/>
        <v>744.1</v>
      </c>
      <c r="J1392" s="2">
        <f t="shared" si="43"/>
        <v>1.6403236117540727</v>
      </c>
    </row>
    <row r="1393" spans="1:10" x14ac:dyDescent="0.3">
      <c r="A1393" s="1">
        <v>45407</v>
      </c>
      <c r="B1393">
        <v>778.42</v>
      </c>
      <c r="C1393">
        <v>359.39</v>
      </c>
      <c r="D1393">
        <v>5</v>
      </c>
      <c r="E1393" s="2" t="s">
        <v>8</v>
      </c>
      <c r="F1393" s="2" t="s">
        <v>9</v>
      </c>
      <c r="G1393" s="2" t="s">
        <v>12</v>
      </c>
      <c r="H1393" s="2" t="s">
        <v>15</v>
      </c>
      <c r="I1393" s="2">
        <f t="shared" si="42"/>
        <v>419.03</v>
      </c>
      <c r="J1393" s="2">
        <f t="shared" si="43"/>
        <v>1.1659478560894849</v>
      </c>
    </row>
    <row r="1394" spans="1:10" x14ac:dyDescent="0.3">
      <c r="A1394" s="1">
        <v>45408</v>
      </c>
      <c r="B1394">
        <v>1015.41</v>
      </c>
      <c r="C1394">
        <v>164.54</v>
      </c>
      <c r="D1394">
        <v>3</v>
      </c>
      <c r="E1394" s="2" t="s">
        <v>16</v>
      </c>
      <c r="F1394" s="2" t="s">
        <v>17</v>
      </c>
      <c r="G1394" s="2" t="s">
        <v>10</v>
      </c>
      <c r="H1394" s="2" t="s">
        <v>20</v>
      </c>
      <c r="I1394" s="2">
        <f t="shared" si="42"/>
        <v>850.87</v>
      </c>
      <c r="J1394" s="2">
        <f t="shared" si="43"/>
        <v>5.171204570317248</v>
      </c>
    </row>
    <row r="1395" spans="1:10" x14ac:dyDescent="0.3">
      <c r="A1395" s="1">
        <v>45294</v>
      </c>
      <c r="B1395">
        <v>307.39999999999998</v>
      </c>
      <c r="C1395">
        <v>155.08000000000001</v>
      </c>
      <c r="D1395">
        <v>3</v>
      </c>
      <c r="E1395" s="2" t="s">
        <v>8</v>
      </c>
      <c r="F1395" s="2" t="s">
        <v>9</v>
      </c>
      <c r="G1395" s="2" t="s">
        <v>12</v>
      </c>
      <c r="H1395" s="2" t="s">
        <v>18</v>
      </c>
      <c r="I1395" s="2">
        <f t="shared" si="42"/>
        <v>152.31999999999996</v>
      </c>
      <c r="J1395" s="2">
        <f t="shared" si="43"/>
        <v>0.98220273407273639</v>
      </c>
    </row>
    <row r="1396" spans="1:10" x14ac:dyDescent="0.3">
      <c r="A1396" s="1">
        <v>45328</v>
      </c>
      <c r="B1396">
        <v>728.87</v>
      </c>
      <c r="C1396">
        <v>278.38</v>
      </c>
      <c r="D1396">
        <v>4</v>
      </c>
      <c r="E1396" s="2" t="s">
        <v>8</v>
      </c>
      <c r="F1396" s="2" t="s">
        <v>9</v>
      </c>
      <c r="G1396" s="2" t="s">
        <v>19</v>
      </c>
      <c r="H1396" s="2" t="s">
        <v>20</v>
      </c>
      <c r="I1396" s="2">
        <f t="shared" si="42"/>
        <v>450.49</v>
      </c>
      <c r="J1396" s="2">
        <f t="shared" si="43"/>
        <v>1.6182556218119117</v>
      </c>
    </row>
    <row r="1397" spans="1:10" x14ac:dyDescent="0.3">
      <c r="A1397" s="1">
        <v>45345</v>
      </c>
      <c r="B1397">
        <v>1335.24</v>
      </c>
      <c r="C1397">
        <v>72.900000000000006</v>
      </c>
      <c r="D1397">
        <v>0</v>
      </c>
      <c r="E1397" s="2" t="s">
        <v>8</v>
      </c>
      <c r="F1397" s="2" t="s">
        <v>9</v>
      </c>
      <c r="G1397" s="2" t="s">
        <v>10</v>
      </c>
      <c r="H1397" s="2" t="s">
        <v>18</v>
      </c>
      <c r="I1397" s="2">
        <f t="shared" si="42"/>
        <v>1262.3399999999999</v>
      </c>
      <c r="J1397" s="2">
        <f t="shared" si="43"/>
        <v>17.316049382716049</v>
      </c>
    </row>
    <row r="1398" spans="1:10" x14ac:dyDescent="0.3">
      <c r="A1398" s="1">
        <v>45381</v>
      </c>
      <c r="B1398">
        <v>51.64</v>
      </c>
      <c r="C1398">
        <v>436.4</v>
      </c>
      <c r="D1398">
        <v>6</v>
      </c>
      <c r="E1398" s="2" t="s">
        <v>8</v>
      </c>
      <c r="F1398" s="2" t="s">
        <v>9</v>
      </c>
      <c r="G1398" s="2" t="s">
        <v>14</v>
      </c>
      <c r="H1398" s="2" t="s">
        <v>11</v>
      </c>
      <c r="I1398" s="2">
        <f t="shared" si="42"/>
        <v>-384.76</v>
      </c>
      <c r="J1398" s="2">
        <f t="shared" si="43"/>
        <v>-0.88166819431714027</v>
      </c>
    </row>
    <row r="1399" spans="1:10" x14ac:dyDescent="0.3">
      <c r="A1399" s="1">
        <v>45359</v>
      </c>
      <c r="B1399">
        <v>300</v>
      </c>
      <c r="C1399">
        <v>25.19</v>
      </c>
      <c r="D1399">
        <v>7</v>
      </c>
      <c r="E1399" s="2" t="s">
        <v>13</v>
      </c>
      <c r="F1399" s="2" t="s">
        <v>17</v>
      </c>
      <c r="G1399" s="2" t="s">
        <v>19</v>
      </c>
      <c r="H1399" s="2" t="s">
        <v>11</v>
      </c>
      <c r="I1399" s="2">
        <f t="shared" si="42"/>
        <v>274.81</v>
      </c>
      <c r="J1399" s="2">
        <f t="shared" si="43"/>
        <v>10.909487892020643</v>
      </c>
    </row>
    <row r="1400" spans="1:10" x14ac:dyDescent="0.3">
      <c r="A1400" s="1">
        <v>45314</v>
      </c>
      <c r="B1400">
        <v>1277.6099999999999</v>
      </c>
      <c r="C1400">
        <v>485.1</v>
      </c>
      <c r="D1400">
        <v>8</v>
      </c>
      <c r="E1400" s="2" t="s">
        <v>13</v>
      </c>
      <c r="F1400" s="2" t="s">
        <v>17</v>
      </c>
      <c r="G1400" s="2" t="s">
        <v>14</v>
      </c>
      <c r="H1400" s="2" t="s">
        <v>15</v>
      </c>
      <c r="I1400" s="2">
        <f t="shared" si="42"/>
        <v>792.50999999999988</v>
      </c>
      <c r="J1400" s="2">
        <f t="shared" si="43"/>
        <v>1.6337043908472477</v>
      </c>
    </row>
    <row r="1401" spans="1:10" x14ac:dyDescent="0.3">
      <c r="A1401" s="1">
        <v>45401</v>
      </c>
      <c r="B1401">
        <v>630.89</v>
      </c>
      <c r="C1401">
        <v>217.86</v>
      </c>
      <c r="D1401">
        <v>2</v>
      </c>
      <c r="E1401" s="2" t="s">
        <v>8</v>
      </c>
      <c r="F1401" s="2" t="s">
        <v>9</v>
      </c>
      <c r="G1401" s="2" t="s">
        <v>14</v>
      </c>
      <c r="H1401" s="2" t="s">
        <v>11</v>
      </c>
      <c r="I1401" s="2">
        <f t="shared" si="42"/>
        <v>413.03</v>
      </c>
      <c r="J1401" s="2">
        <f t="shared" si="43"/>
        <v>1.8958505462223443</v>
      </c>
    </row>
    <row r="1402" spans="1:10" x14ac:dyDescent="0.3">
      <c r="A1402" s="1">
        <v>45363</v>
      </c>
      <c r="B1402">
        <v>121.57</v>
      </c>
      <c r="C1402">
        <v>177.78</v>
      </c>
      <c r="D1402">
        <v>5</v>
      </c>
      <c r="E1402" s="2" t="s">
        <v>8</v>
      </c>
      <c r="F1402" s="2" t="s">
        <v>9</v>
      </c>
      <c r="G1402" s="2" t="s">
        <v>19</v>
      </c>
      <c r="H1402" s="2" t="s">
        <v>15</v>
      </c>
      <c r="I1402" s="2">
        <f t="shared" si="42"/>
        <v>-56.210000000000008</v>
      </c>
      <c r="J1402" s="2">
        <f t="shared" si="43"/>
        <v>-0.31617729778377773</v>
      </c>
    </row>
    <row r="1403" spans="1:10" x14ac:dyDescent="0.3">
      <c r="A1403" s="1">
        <v>45324</v>
      </c>
      <c r="B1403">
        <v>804.66</v>
      </c>
      <c r="C1403">
        <v>43.71</v>
      </c>
      <c r="D1403">
        <v>7</v>
      </c>
      <c r="E1403" s="2" t="s">
        <v>16</v>
      </c>
      <c r="F1403" s="2" t="s">
        <v>9</v>
      </c>
      <c r="G1403" s="2" t="s">
        <v>14</v>
      </c>
      <c r="H1403" s="2" t="s">
        <v>20</v>
      </c>
      <c r="I1403" s="2">
        <f t="shared" si="42"/>
        <v>760.94999999999993</v>
      </c>
      <c r="J1403" s="2">
        <f t="shared" si="43"/>
        <v>17.409059711736443</v>
      </c>
    </row>
    <row r="1404" spans="1:10" x14ac:dyDescent="0.3">
      <c r="A1404" s="1">
        <v>45333</v>
      </c>
      <c r="B1404">
        <v>591.33000000000004</v>
      </c>
      <c r="C1404">
        <v>277.75</v>
      </c>
      <c r="D1404">
        <v>6</v>
      </c>
      <c r="E1404" s="2" t="s">
        <v>13</v>
      </c>
      <c r="F1404" s="2" t="s">
        <v>9</v>
      </c>
      <c r="G1404" s="2" t="s">
        <v>19</v>
      </c>
      <c r="H1404" s="2" t="s">
        <v>18</v>
      </c>
      <c r="I1404" s="2">
        <f t="shared" si="42"/>
        <v>313.58000000000004</v>
      </c>
      <c r="J1404" s="2">
        <f t="shared" si="43"/>
        <v>1.1290009000900092</v>
      </c>
    </row>
    <row r="1405" spans="1:10" x14ac:dyDescent="0.3">
      <c r="A1405" s="1">
        <v>45406</v>
      </c>
      <c r="B1405">
        <v>1061.28</v>
      </c>
      <c r="C1405">
        <v>479.86</v>
      </c>
      <c r="D1405">
        <v>2</v>
      </c>
      <c r="E1405" s="2" t="s">
        <v>13</v>
      </c>
      <c r="F1405" s="2" t="s">
        <v>9</v>
      </c>
      <c r="G1405" s="2" t="s">
        <v>12</v>
      </c>
      <c r="H1405" s="2" t="s">
        <v>18</v>
      </c>
      <c r="I1405" s="2">
        <f t="shared" si="42"/>
        <v>581.41999999999996</v>
      </c>
      <c r="J1405" s="2">
        <f t="shared" si="43"/>
        <v>1.2116450631434168</v>
      </c>
    </row>
    <row r="1406" spans="1:10" x14ac:dyDescent="0.3">
      <c r="A1406" s="1">
        <v>45377</v>
      </c>
      <c r="B1406">
        <v>334.23</v>
      </c>
      <c r="C1406">
        <v>440.05</v>
      </c>
      <c r="D1406">
        <v>5</v>
      </c>
      <c r="E1406" s="2" t="s">
        <v>16</v>
      </c>
      <c r="F1406" s="2" t="s">
        <v>9</v>
      </c>
      <c r="G1406" s="2" t="s">
        <v>19</v>
      </c>
      <c r="H1406" s="2" t="s">
        <v>15</v>
      </c>
      <c r="I1406" s="2">
        <f t="shared" si="42"/>
        <v>-105.82</v>
      </c>
      <c r="J1406" s="2">
        <f t="shared" si="43"/>
        <v>-0.24047267355982271</v>
      </c>
    </row>
    <row r="1407" spans="1:10" x14ac:dyDescent="0.3">
      <c r="A1407" s="1">
        <v>45358</v>
      </c>
      <c r="B1407">
        <v>509.77</v>
      </c>
      <c r="C1407">
        <v>12.83</v>
      </c>
      <c r="D1407">
        <v>0</v>
      </c>
      <c r="E1407" s="2" t="s">
        <v>16</v>
      </c>
      <c r="F1407" s="2" t="s">
        <v>17</v>
      </c>
      <c r="G1407" s="2" t="s">
        <v>10</v>
      </c>
      <c r="H1407" s="2" t="s">
        <v>18</v>
      </c>
      <c r="I1407" s="2">
        <f t="shared" si="42"/>
        <v>496.94</v>
      </c>
      <c r="J1407" s="2">
        <f t="shared" si="43"/>
        <v>38.732657833203426</v>
      </c>
    </row>
    <row r="1408" spans="1:10" x14ac:dyDescent="0.3">
      <c r="A1408" s="1">
        <v>45371</v>
      </c>
      <c r="B1408">
        <v>1119.24</v>
      </c>
      <c r="C1408">
        <v>250.59</v>
      </c>
      <c r="D1408">
        <v>10</v>
      </c>
      <c r="E1408" s="2" t="s">
        <v>13</v>
      </c>
      <c r="F1408" s="2" t="s">
        <v>9</v>
      </c>
      <c r="G1408" s="2" t="s">
        <v>19</v>
      </c>
      <c r="H1408" s="2" t="s">
        <v>15</v>
      </c>
      <c r="I1408" s="2">
        <f t="shared" si="42"/>
        <v>868.65</v>
      </c>
      <c r="J1408" s="2">
        <f t="shared" si="43"/>
        <v>3.466419250568658</v>
      </c>
    </row>
    <row r="1409" spans="1:10" x14ac:dyDescent="0.3">
      <c r="A1409" s="1">
        <v>45379</v>
      </c>
      <c r="B1409">
        <v>621.24</v>
      </c>
      <c r="C1409">
        <v>256.33999999999997</v>
      </c>
      <c r="D1409">
        <v>2</v>
      </c>
      <c r="E1409" s="2" t="s">
        <v>8</v>
      </c>
      <c r="F1409" s="2" t="s">
        <v>17</v>
      </c>
      <c r="G1409" s="2" t="s">
        <v>14</v>
      </c>
      <c r="H1409" s="2" t="s">
        <v>11</v>
      </c>
      <c r="I1409" s="2">
        <f t="shared" si="42"/>
        <v>364.90000000000003</v>
      </c>
      <c r="J1409" s="2">
        <f t="shared" si="43"/>
        <v>1.4235000390106891</v>
      </c>
    </row>
    <row r="1410" spans="1:10" x14ac:dyDescent="0.3">
      <c r="A1410" s="1">
        <v>45369</v>
      </c>
      <c r="B1410">
        <v>63.5</v>
      </c>
      <c r="C1410">
        <v>58.42</v>
      </c>
      <c r="D1410">
        <v>6</v>
      </c>
      <c r="E1410" s="2" t="s">
        <v>8</v>
      </c>
      <c r="F1410" s="2" t="s">
        <v>17</v>
      </c>
      <c r="G1410" s="2" t="s">
        <v>19</v>
      </c>
      <c r="H1410" s="2" t="s">
        <v>18</v>
      </c>
      <c r="I1410" s="2">
        <f t="shared" ref="I1410:I1473" si="44">B1410-C1410</f>
        <v>5.0799999999999983</v>
      </c>
      <c r="J1410" s="2">
        <f t="shared" ref="J1410:J1473" si="45">IF(C1410=0,0,I1410/C1410)</f>
        <v>8.6956521739130405E-2</v>
      </c>
    </row>
    <row r="1411" spans="1:10" x14ac:dyDescent="0.3">
      <c r="A1411" s="1">
        <v>45370</v>
      </c>
      <c r="B1411">
        <v>142.69</v>
      </c>
      <c r="C1411">
        <v>417.45</v>
      </c>
      <c r="D1411">
        <v>8</v>
      </c>
      <c r="E1411" s="2" t="s">
        <v>8</v>
      </c>
      <c r="F1411" s="2" t="s">
        <v>17</v>
      </c>
      <c r="G1411" s="2" t="s">
        <v>12</v>
      </c>
      <c r="H1411" s="2" t="s">
        <v>18</v>
      </c>
      <c r="I1411" s="2">
        <f t="shared" si="44"/>
        <v>-274.76</v>
      </c>
      <c r="J1411" s="2">
        <f t="shared" si="45"/>
        <v>-0.65818660917475147</v>
      </c>
    </row>
    <row r="1412" spans="1:10" x14ac:dyDescent="0.3">
      <c r="A1412" s="1">
        <v>45337</v>
      </c>
      <c r="B1412">
        <v>208</v>
      </c>
      <c r="C1412">
        <v>125.08</v>
      </c>
      <c r="D1412">
        <v>4</v>
      </c>
      <c r="E1412" s="2" t="s">
        <v>16</v>
      </c>
      <c r="F1412" s="2" t="s">
        <v>17</v>
      </c>
      <c r="G1412" s="2" t="s">
        <v>12</v>
      </c>
      <c r="H1412" s="2" t="s">
        <v>15</v>
      </c>
      <c r="I1412" s="2">
        <f t="shared" si="44"/>
        <v>82.92</v>
      </c>
      <c r="J1412" s="2">
        <f t="shared" si="45"/>
        <v>0.66293572113847143</v>
      </c>
    </row>
    <row r="1413" spans="1:10" x14ac:dyDescent="0.3">
      <c r="A1413" s="1">
        <v>45363</v>
      </c>
      <c r="B1413">
        <v>1377.05</v>
      </c>
      <c r="C1413">
        <v>198.89</v>
      </c>
      <c r="D1413">
        <v>2</v>
      </c>
      <c r="E1413" s="2" t="s">
        <v>13</v>
      </c>
      <c r="F1413" s="2" t="s">
        <v>17</v>
      </c>
      <c r="G1413" s="2" t="s">
        <v>14</v>
      </c>
      <c r="H1413" s="2" t="s">
        <v>11</v>
      </c>
      <c r="I1413" s="2">
        <f t="shared" si="44"/>
        <v>1178.1599999999999</v>
      </c>
      <c r="J1413" s="2">
        <f t="shared" si="45"/>
        <v>5.9236764040424355</v>
      </c>
    </row>
    <row r="1414" spans="1:10" x14ac:dyDescent="0.3">
      <c r="A1414" s="1">
        <v>45388</v>
      </c>
      <c r="B1414">
        <v>368.96</v>
      </c>
      <c r="C1414">
        <v>201.16</v>
      </c>
      <c r="D1414">
        <v>3</v>
      </c>
      <c r="E1414" s="2" t="s">
        <v>8</v>
      </c>
      <c r="F1414" s="2" t="s">
        <v>17</v>
      </c>
      <c r="G1414" s="2" t="s">
        <v>10</v>
      </c>
      <c r="H1414" s="2" t="s">
        <v>11</v>
      </c>
      <c r="I1414" s="2">
        <f t="shared" si="44"/>
        <v>167.79999999999998</v>
      </c>
      <c r="J1414" s="2">
        <f t="shared" si="45"/>
        <v>0.8341618612050109</v>
      </c>
    </row>
    <row r="1415" spans="1:10" x14ac:dyDescent="0.3">
      <c r="A1415" s="1">
        <v>45322</v>
      </c>
      <c r="B1415">
        <v>1245.33</v>
      </c>
      <c r="C1415">
        <v>284.98</v>
      </c>
      <c r="D1415">
        <v>6</v>
      </c>
      <c r="E1415" s="2" t="s">
        <v>13</v>
      </c>
      <c r="F1415" s="2" t="s">
        <v>17</v>
      </c>
      <c r="G1415" s="2" t="s">
        <v>19</v>
      </c>
      <c r="H1415" s="2" t="s">
        <v>15</v>
      </c>
      <c r="I1415" s="2">
        <f t="shared" si="44"/>
        <v>960.34999999999991</v>
      </c>
      <c r="J1415" s="2">
        <f t="shared" si="45"/>
        <v>3.3698856060074385</v>
      </c>
    </row>
    <row r="1416" spans="1:10" x14ac:dyDescent="0.3">
      <c r="A1416" s="1">
        <v>45317</v>
      </c>
      <c r="B1416">
        <v>229.98</v>
      </c>
      <c r="C1416">
        <v>319.06</v>
      </c>
      <c r="D1416">
        <v>3</v>
      </c>
      <c r="E1416" s="2" t="s">
        <v>13</v>
      </c>
      <c r="F1416" s="2" t="s">
        <v>9</v>
      </c>
      <c r="G1416" s="2" t="s">
        <v>12</v>
      </c>
      <c r="H1416" s="2" t="s">
        <v>20</v>
      </c>
      <c r="I1416" s="2">
        <f t="shared" si="44"/>
        <v>-89.080000000000013</v>
      </c>
      <c r="J1416" s="2">
        <f t="shared" si="45"/>
        <v>-0.27919513571115157</v>
      </c>
    </row>
    <row r="1417" spans="1:10" x14ac:dyDescent="0.3">
      <c r="A1417" s="1">
        <v>45292</v>
      </c>
      <c r="B1417">
        <v>1311.2</v>
      </c>
      <c r="C1417">
        <v>340.83</v>
      </c>
      <c r="D1417">
        <v>4</v>
      </c>
      <c r="E1417" s="2" t="s">
        <v>8</v>
      </c>
      <c r="F1417" s="2" t="s">
        <v>17</v>
      </c>
      <c r="G1417" s="2" t="s">
        <v>12</v>
      </c>
      <c r="H1417" s="2" t="s">
        <v>11</v>
      </c>
      <c r="I1417" s="2">
        <f t="shared" si="44"/>
        <v>970.37000000000012</v>
      </c>
      <c r="J1417" s="2">
        <f t="shared" si="45"/>
        <v>2.8470791890385243</v>
      </c>
    </row>
    <row r="1418" spans="1:10" x14ac:dyDescent="0.3">
      <c r="A1418" s="1">
        <v>45390</v>
      </c>
      <c r="B1418">
        <v>1369.97</v>
      </c>
      <c r="C1418">
        <v>67.92</v>
      </c>
      <c r="D1418">
        <v>7</v>
      </c>
      <c r="E1418" s="2" t="s">
        <v>13</v>
      </c>
      <c r="F1418" s="2" t="s">
        <v>17</v>
      </c>
      <c r="G1418" s="2" t="s">
        <v>12</v>
      </c>
      <c r="H1418" s="2" t="s">
        <v>20</v>
      </c>
      <c r="I1418" s="2">
        <f t="shared" si="44"/>
        <v>1302.05</v>
      </c>
      <c r="J1418" s="2">
        <f t="shared" si="45"/>
        <v>19.170347467608952</v>
      </c>
    </row>
    <row r="1419" spans="1:10" x14ac:dyDescent="0.3">
      <c r="A1419" s="1">
        <v>45331</v>
      </c>
      <c r="B1419">
        <v>549.76</v>
      </c>
      <c r="C1419">
        <v>41.02</v>
      </c>
      <c r="D1419">
        <v>3</v>
      </c>
      <c r="E1419" s="2" t="s">
        <v>8</v>
      </c>
      <c r="F1419" s="2" t="s">
        <v>17</v>
      </c>
      <c r="G1419" s="2" t="s">
        <v>14</v>
      </c>
      <c r="H1419" s="2" t="s">
        <v>20</v>
      </c>
      <c r="I1419" s="2">
        <f t="shared" si="44"/>
        <v>508.74</v>
      </c>
      <c r="J1419" s="2">
        <f t="shared" si="45"/>
        <v>12.402242808386152</v>
      </c>
    </row>
    <row r="1420" spans="1:10" x14ac:dyDescent="0.3">
      <c r="A1420" s="1">
        <v>45299</v>
      </c>
      <c r="B1420">
        <v>348.8</v>
      </c>
      <c r="C1420">
        <v>333.62</v>
      </c>
      <c r="D1420">
        <v>5</v>
      </c>
      <c r="E1420" s="2" t="s">
        <v>8</v>
      </c>
      <c r="F1420" s="2" t="s">
        <v>17</v>
      </c>
      <c r="G1420" s="2" t="s">
        <v>12</v>
      </c>
      <c r="H1420" s="2" t="s">
        <v>11</v>
      </c>
      <c r="I1420" s="2">
        <f t="shared" si="44"/>
        <v>15.180000000000007</v>
      </c>
      <c r="J1420" s="2">
        <f t="shared" si="45"/>
        <v>4.550086925244292E-2</v>
      </c>
    </row>
    <row r="1421" spans="1:10" x14ac:dyDescent="0.3">
      <c r="A1421" s="1">
        <v>45325</v>
      </c>
      <c r="B1421">
        <v>806.8</v>
      </c>
      <c r="C1421">
        <v>428.08</v>
      </c>
      <c r="D1421">
        <v>0</v>
      </c>
      <c r="E1421" s="2" t="s">
        <v>8</v>
      </c>
      <c r="F1421" s="2" t="s">
        <v>9</v>
      </c>
      <c r="G1421" s="2" t="s">
        <v>10</v>
      </c>
      <c r="H1421" s="2" t="s">
        <v>11</v>
      </c>
      <c r="I1421" s="2">
        <f t="shared" si="44"/>
        <v>378.71999999999997</v>
      </c>
      <c r="J1421" s="2">
        <f t="shared" si="45"/>
        <v>0.88469444963558208</v>
      </c>
    </row>
    <row r="1422" spans="1:10" x14ac:dyDescent="0.3">
      <c r="A1422" s="1">
        <v>45374</v>
      </c>
      <c r="B1422">
        <v>1102.57</v>
      </c>
      <c r="C1422">
        <v>234.2</v>
      </c>
      <c r="D1422">
        <v>1</v>
      </c>
      <c r="E1422" s="2" t="s">
        <v>16</v>
      </c>
      <c r="F1422" s="2" t="s">
        <v>17</v>
      </c>
      <c r="G1422" s="2" t="s">
        <v>19</v>
      </c>
      <c r="H1422" s="2" t="s">
        <v>18</v>
      </c>
      <c r="I1422" s="2">
        <f t="shared" si="44"/>
        <v>868.36999999999989</v>
      </c>
      <c r="J1422" s="2">
        <f t="shared" si="45"/>
        <v>3.7078138343296323</v>
      </c>
    </row>
    <row r="1423" spans="1:10" x14ac:dyDescent="0.3">
      <c r="A1423" s="1">
        <v>45322</v>
      </c>
      <c r="B1423">
        <v>191.72</v>
      </c>
      <c r="C1423">
        <v>265.19</v>
      </c>
      <c r="D1423">
        <v>4</v>
      </c>
      <c r="E1423" s="2" t="s">
        <v>8</v>
      </c>
      <c r="F1423" s="2" t="s">
        <v>9</v>
      </c>
      <c r="G1423" s="2" t="s">
        <v>19</v>
      </c>
      <c r="H1423" s="2" t="s">
        <v>11</v>
      </c>
      <c r="I1423" s="2">
        <f t="shared" si="44"/>
        <v>-73.47</v>
      </c>
      <c r="J1423" s="2">
        <f t="shared" si="45"/>
        <v>-0.2770466458011237</v>
      </c>
    </row>
    <row r="1424" spans="1:10" x14ac:dyDescent="0.3">
      <c r="A1424" s="1">
        <v>45304</v>
      </c>
      <c r="B1424">
        <v>152.51</v>
      </c>
      <c r="C1424">
        <v>430.31</v>
      </c>
      <c r="D1424">
        <v>2</v>
      </c>
      <c r="E1424" s="2" t="s">
        <v>8</v>
      </c>
      <c r="F1424" s="2" t="s">
        <v>9</v>
      </c>
      <c r="G1424" s="2" t="s">
        <v>19</v>
      </c>
      <c r="H1424" s="2" t="s">
        <v>20</v>
      </c>
      <c r="I1424" s="2">
        <f t="shared" si="44"/>
        <v>-277.8</v>
      </c>
      <c r="J1424" s="2">
        <f t="shared" si="45"/>
        <v>-0.64558109270061126</v>
      </c>
    </row>
    <row r="1425" spans="1:10" x14ac:dyDescent="0.3">
      <c r="A1425" s="1">
        <v>45362</v>
      </c>
      <c r="B1425">
        <v>727.97</v>
      </c>
      <c r="C1425">
        <v>28.78</v>
      </c>
      <c r="D1425">
        <v>10</v>
      </c>
      <c r="E1425" s="2" t="s">
        <v>8</v>
      </c>
      <c r="F1425" s="2" t="s">
        <v>9</v>
      </c>
      <c r="G1425" s="2" t="s">
        <v>19</v>
      </c>
      <c r="H1425" s="2" t="s">
        <v>18</v>
      </c>
      <c r="I1425" s="2">
        <f t="shared" si="44"/>
        <v>699.19</v>
      </c>
      <c r="J1425" s="2">
        <f t="shared" si="45"/>
        <v>24.294301598332176</v>
      </c>
    </row>
    <row r="1426" spans="1:10" x14ac:dyDescent="0.3">
      <c r="A1426" s="1">
        <v>45379</v>
      </c>
      <c r="B1426">
        <v>995.92</v>
      </c>
      <c r="C1426">
        <v>66.290000000000006</v>
      </c>
      <c r="D1426">
        <v>5</v>
      </c>
      <c r="E1426" s="2" t="s">
        <v>16</v>
      </c>
      <c r="F1426" s="2" t="s">
        <v>9</v>
      </c>
      <c r="G1426" s="2" t="s">
        <v>12</v>
      </c>
      <c r="H1426" s="2" t="s">
        <v>20</v>
      </c>
      <c r="I1426" s="2">
        <f t="shared" si="44"/>
        <v>929.63</v>
      </c>
      <c r="J1426" s="2">
        <f t="shared" si="45"/>
        <v>14.023683813546537</v>
      </c>
    </row>
    <row r="1427" spans="1:10" x14ac:dyDescent="0.3">
      <c r="A1427" s="1">
        <v>45388</v>
      </c>
      <c r="B1427">
        <v>1447.15</v>
      </c>
      <c r="C1427">
        <v>411.48</v>
      </c>
      <c r="D1427">
        <v>1</v>
      </c>
      <c r="E1427" s="2" t="s">
        <v>8</v>
      </c>
      <c r="F1427" s="2" t="s">
        <v>9</v>
      </c>
      <c r="G1427" s="2" t="s">
        <v>14</v>
      </c>
      <c r="H1427" s="2" t="s">
        <v>18</v>
      </c>
      <c r="I1427" s="2">
        <f t="shared" si="44"/>
        <v>1035.67</v>
      </c>
      <c r="J1427" s="2">
        <f t="shared" si="45"/>
        <v>2.516938854865364</v>
      </c>
    </row>
    <row r="1428" spans="1:10" x14ac:dyDescent="0.3">
      <c r="A1428" s="1">
        <v>45384</v>
      </c>
      <c r="B1428">
        <v>915.08</v>
      </c>
      <c r="C1428">
        <v>97.8</v>
      </c>
      <c r="D1428">
        <v>2</v>
      </c>
      <c r="E1428" s="2" t="s">
        <v>16</v>
      </c>
      <c r="F1428" s="2" t="s">
        <v>17</v>
      </c>
      <c r="G1428" s="2" t="s">
        <v>12</v>
      </c>
      <c r="H1428" s="2" t="s">
        <v>11</v>
      </c>
      <c r="I1428" s="2">
        <f t="shared" si="44"/>
        <v>817.28000000000009</v>
      </c>
      <c r="J1428" s="2">
        <f t="shared" si="45"/>
        <v>8.3566462167689171</v>
      </c>
    </row>
    <row r="1429" spans="1:10" x14ac:dyDescent="0.3">
      <c r="A1429" s="1">
        <v>45351</v>
      </c>
      <c r="B1429">
        <v>606.29999999999995</v>
      </c>
      <c r="C1429">
        <v>402.74</v>
      </c>
      <c r="D1429">
        <v>0</v>
      </c>
      <c r="E1429" s="2" t="s">
        <v>8</v>
      </c>
      <c r="F1429" s="2" t="s">
        <v>9</v>
      </c>
      <c r="G1429" s="2" t="s">
        <v>10</v>
      </c>
      <c r="H1429" s="2" t="s">
        <v>20</v>
      </c>
      <c r="I1429" s="2">
        <f t="shared" si="44"/>
        <v>203.55999999999995</v>
      </c>
      <c r="J1429" s="2">
        <f t="shared" si="45"/>
        <v>0.50543775140289005</v>
      </c>
    </row>
    <row r="1430" spans="1:10" x14ac:dyDescent="0.3">
      <c r="A1430" s="1">
        <v>45351</v>
      </c>
      <c r="B1430">
        <v>495.06</v>
      </c>
      <c r="C1430">
        <v>114.07</v>
      </c>
      <c r="D1430">
        <v>6</v>
      </c>
      <c r="E1430" s="2" t="s">
        <v>8</v>
      </c>
      <c r="F1430" s="2" t="s">
        <v>17</v>
      </c>
      <c r="G1430" s="2" t="s">
        <v>14</v>
      </c>
      <c r="H1430" s="2" t="s">
        <v>18</v>
      </c>
      <c r="I1430" s="2">
        <f t="shared" si="44"/>
        <v>380.99</v>
      </c>
      <c r="J1430" s="2">
        <f t="shared" si="45"/>
        <v>3.3399666871219429</v>
      </c>
    </row>
    <row r="1431" spans="1:10" x14ac:dyDescent="0.3">
      <c r="A1431" s="1">
        <v>45359</v>
      </c>
      <c r="B1431">
        <v>425.58</v>
      </c>
      <c r="C1431">
        <v>412.91</v>
      </c>
      <c r="D1431">
        <v>9</v>
      </c>
      <c r="E1431" s="2" t="s">
        <v>8</v>
      </c>
      <c r="F1431" s="2" t="s">
        <v>9</v>
      </c>
      <c r="G1431" s="2" t="s">
        <v>14</v>
      </c>
      <c r="H1431" s="2" t="s">
        <v>20</v>
      </c>
      <c r="I1431" s="2">
        <f t="shared" si="44"/>
        <v>12.669999999999959</v>
      </c>
      <c r="J1431" s="2">
        <f t="shared" si="45"/>
        <v>3.0684652829914408E-2</v>
      </c>
    </row>
    <row r="1432" spans="1:10" x14ac:dyDescent="0.3">
      <c r="A1432" s="1">
        <v>45300</v>
      </c>
      <c r="B1432">
        <v>1237.56</v>
      </c>
      <c r="C1432">
        <v>127.58</v>
      </c>
      <c r="D1432">
        <v>10</v>
      </c>
      <c r="E1432" s="2" t="s">
        <v>13</v>
      </c>
      <c r="F1432" s="2" t="s">
        <v>17</v>
      </c>
      <c r="G1432" s="2" t="s">
        <v>12</v>
      </c>
      <c r="H1432" s="2" t="s">
        <v>11</v>
      </c>
      <c r="I1432" s="2">
        <f t="shared" si="44"/>
        <v>1109.98</v>
      </c>
      <c r="J1432" s="2">
        <f t="shared" si="45"/>
        <v>8.7002664994513257</v>
      </c>
    </row>
    <row r="1433" spans="1:10" x14ac:dyDescent="0.3">
      <c r="A1433" s="1">
        <v>45314</v>
      </c>
      <c r="B1433">
        <v>450.32</v>
      </c>
      <c r="C1433">
        <v>35.4</v>
      </c>
      <c r="D1433">
        <v>5</v>
      </c>
      <c r="E1433" s="2" t="s">
        <v>8</v>
      </c>
      <c r="F1433" s="2" t="s">
        <v>9</v>
      </c>
      <c r="G1433" s="2" t="s">
        <v>12</v>
      </c>
      <c r="H1433" s="2" t="s">
        <v>15</v>
      </c>
      <c r="I1433" s="2">
        <f t="shared" si="44"/>
        <v>414.92</v>
      </c>
      <c r="J1433" s="2">
        <f t="shared" si="45"/>
        <v>11.72090395480226</v>
      </c>
    </row>
    <row r="1434" spans="1:10" x14ac:dyDescent="0.3">
      <c r="A1434" s="1">
        <v>45390</v>
      </c>
      <c r="B1434">
        <v>535.6</v>
      </c>
      <c r="C1434">
        <v>452.43</v>
      </c>
      <c r="D1434">
        <v>2</v>
      </c>
      <c r="E1434" s="2" t="s">
        <v>13</v>
      </c>
      <c r="F1434" s="2" t="s">
        <v>9</v>
      </c>
      <c r="G1434" s="2" t="s">
        <v>19</v>
      </c>
      <c r="H1434" s="2" t="s">
        <v>18</v>
      </c>
      <c r="I1434" s="2">
        <f t="shared" si="44"/>
        <v>83.170000000000016</v>
      </c>
      <c r="J1434" s="2">
        <f t="shared" si="45"/>
        <v>0.18382954269168714</v>
      </c>
    </row>
    <row r="1435" spans="1:10" x14ac:dyDescent="0.3">
      <c r="A1435" s="1">
        <v>45327</v>
      </c>
      <c r="B1435">
        <v>157.04</v>
      </c>
      <c r="C1435">
        <v>153.91</v>
      </c>
      <c r="D1435">
        <v>3</v>
      </c>
      <c r="E1435" s="2" t="s">
        <v>8</v>
      </c>
      <c r="F1435" s="2" t="s">
        <v>17</v>
      </c>
      <c r="G1435" s="2" t="s">
        <v>12</v>
      </c>
      <c r="H1435" s="2" t="s">
        <v>15</v>
      </c>
      <c r="I1435" s="2">
        <f t="shared" si="44"/>
        <v>3.1299999999999955</v>
      </c>
      <c r="J1435" s="2">
        <f t="shared" si="45"/>
        <v>2.0336560327464073E-2</v>
      </c>
    </row>
    <row r="1436" spans="1:10" x14ac:dyDescent="0.3">
      <c r="A1436" s="1">
        <v>45359</v>
      </c>
      <c r="B1436">
        <v>786</v>
      </c>
      <c r="C1436">
        <v>296.88</v>
      </c>
      <c r="D1436">
        <v>9</v>
      </c>
      <c r="E1436" s="2" t="s">
        <v>16</v>
      </c>
      <c r="F1436" s="2" t="s">
        <v>9</v>
      </c>
      <c r="G1436" s="2" t="s">
        <v>19</v>
      </c>
      <c r="H1436" s="2" t="s">
        <v>15</v>
      </c>
      <c r="I1436" s="2">
        <f t="shared" si="44"/>
        <v>489.12</v>
      </c>
      <c r="J1436" s="2">
        <f t="shared" si="45"/>
        <v>1.6475343573160874</v>
      </c>
    </row>
    <row r="1437" spans="1:10" x14ac:dyDescent="0.3">
      <c r="A1437" s="1">
        <v>45392</v>
      </c>
      <c r="B1437">
        <v>389.71</v>
      </c>
      <c r="C1437">
        <v>380.47</v>
      </c>
      <c r="D1437">
        <v>4</v>
      </c>
      <c r="E1437" s="2" t="s">
        <v>13</v>
      </c>
      <c r="F1437" s="2" t="s">
        <v>9</v>
      </c>
      <c r="G1437" s="2" t="s">
        <v>19</v>
      </c>
      <c r="H1437" s="2" t="s">
        <v>18</v>
      </c>
      <c r="I1437" s="2">
        <f t="shared" si="44"/>
        <v>9.2399999999999523</v>
      </c>
      <c r="J1437" s="2">
        <f t="shared" si="45"/>
        <v>2.4285751833258738E-2</v>
      </c>
    </row>
    <row r="1438" spans="1:10" x14ac:dyDescent="0.3">
      <c r="A1438" s="1">
        <v>45409</v>
      </c>
      <c r="B1438">
        <v>1081.1199999999999</v>
      </c>
      <c r="C1438">
        <v>297.57</v>
      </c>
      <c r="D1438">
        <v>9</v>
      </c>
      <c r="E1438" s="2" t="s">
        <v>13</v>
      </c>
      <c r="F1438" s="2" t="s">
        <v>17</v>
      </c>
      <c r="G1438" s="2" t="s">
        <v>10</v>
      </c>
      <c r="H1438" s="2" t="s">
        <v>20</v>
      </c>
      <c r="I1438" s="2">
        <f t="shared" si="44"/>
        <v>783.55</v>
      </c>
      <c r="J1438" s="2">
        <f t="shared" si="45"/>
        <v>2.6331619450885504</v>
      </c>
    </row>
    <row r="1439" spans="1:10" x14ac:dyDescent="0.3">
      <c r="A1439" s="1">
        <v>45396</v>
      </c>
      <c r="B1439">
        <v>1181.31</v>
      </c>
      <c r="C1439">
        <v>135.75</v>
      </c>
      <c r="D1439">
        <v>6</v>
      </c>
      <c r="E1439" s="2" t="s">
        <v>8</v>
      </c>
      <c r="F1439" s="2" t="s">
        <v>9</v>
      </c>
      <c r="G1439" s="2" t="s">
        <v>12</v>
      </c>
      <c r="H1439" s="2" t="s">
        <v>15</v>
      </c>
      <c r="I1439" s="2">
        <f t="shared" si="44"/>
        <v>1045.56</v>
      </c>
      <c r="J1439" s="2">
        <f t="shared" si="45"/>
        <v>7.7020994475138114</v>
      </c>
    </row>
    <row r="1440" spans="1:10" x14ac:dyDescent="0.3">
      <c r="A1440" s="1">
        <v>45319</v>
      </c>
      <c r="B1440">
        <v>1459.2</v>
      </c>
      <c r="C1440">
        <v>337.69</v>
      </c>
      <c r="D1440">
        <v>1</v>
      </c>
      <c r="E1440" s="2" t="s">
        <v>13</v>
      </c>
      <c r="F1440" s="2" t="s">
        <v>17</v>
      </c>
      <c r="G1440" s="2" t="s">
        <v>12</v>
      </c>
      <c r="H1440" s="2" t="s">
        <v>11</v>
      </c>
      <c r="I1440" s="2">
        <f t="shared" si="44"/>
        <v>1121.51</v>
      </c>
      <c r="J1440" s="2">
        <f t="shared" si="45"/>
        <v>3.3211229233912762</v>
      </c>
    </row>
    <row r="1441" spans="1:10" x14ac:dyDescent="0.3">
      <c r="A1441" s="1">
        <v>45303</v>
      </c>
      <c r="B1441">
        <v>272.13</v>
      </c>
      <c r="C1441">
        <v>42.94</v>
      </c>
      <c r="D1441">
        <v>3</v>
      </c>
      <c r="E1441" s="2" t="s">
        <v>16</v>
      </c>
      <c r="F1441" s="2" t="s">
        <v>9</v>
      </c>
      <c r="G1441" s="2" t="s">
        <v>19</v>
      </c>
      <c r="H1441" s="2" t="s">
        <v>11</v>
      </c>
      <c r="I1441" s="2">
        <f t="shared" si="44"/>
        <v>229.19</v>
      </c>
      <c r="J1441" s="2">
        <f t="shared" si="45"/>
        <v>5.3374476013041452</v>
      </c>
    </row>
    <row r="1442" spans="1:10" x14ac:dyDescent="0.3">
      <c r="A1442" s="1">
        <v>45383</v>
      </c>
      <c r="B1442">
        <v>742.63</v>
      </c>
      <c r="C1442">
        <v>87.49</v>
      </c>
      <c r="D1442">
        <v>10</v>
      </c>
      <c r="E1442" s="2" t="s">
        <v>8</v>
      </c>
      <c r="F1442" s="2" t="s">
        <v>17</v>
      </c>
      <c r="G1442" s="2" t="s">
        <v>19</v>
      </c>
      <c r="H1442" s="2" t="s">
        <v>15</v>
      </c>
      <c r="I1442" s="2">
        <f t="shared" si="44"/>
        <v>655.14</v>
      </c>
      <c r="J1442" s="2">
        <f t="shared" si="45"/>
        <v>7.4881700765801806</v>
      </c>
    </row>
    <row r="1443" spans="1:10" x14ac:dyDescent="0.3">
      <c r="A1443" s="1">
        <v>45340</v>
      </c>
      <c r="B1443">
        <v>774.86</v>
      </c>
      <c r="C1443">
        <v>261.8</v>
      </c>
      <c r="D1443">
        <v>3</v>
      </c>
      <c r="E1443" s="2" t="s">
        <v>8</v>
      </c>
      <c r="F1443" s="2" t="s">
        <v>9</v>
      </c>
      <c r="G1443" s="2" t="s">
        <v>19</v>
      </c>
      <c r="H1443" s="2" t="s">
        <v>11</v>
      </c>
      <c r="I1443" s="2">
        <f t="shared" si="44"/>
        <v>513.05999999999995</v>
      </c>
      <c r="J1443" s="2">
        <f t="shared" si="45"/>
        <v>1.9597402597402593</v>
      </c>
    </row>
    <row r="1444" spans="1:10" x14ac:dyDescent="0.3">
      <c r="A1444" s="1">
        <v>45396</v>
      </c>
      <c r="B1444">
        <v>253.11</v>
      </c>
      <c r="C1444">
        <v>319.04000000000002</v>
      </c>
      <c r="D1444">
        <v>6</v>
      </c>
      <c r="E1444" s="2" t="s">
        <v>13</v>
      </c>
      <c r="F1444" s="2" t="s">
        <v>17</v>
      </c>
      <c r="G1444" s="2" t="s">
        <v>10</v>
      </c>
      <c r="H1444" s="2" t="s">
        <v>18</v>
      </c>
      <c r="I1444" s="2">
        <f t="shared" si="44"/>
        <v>-65.930000000000007</v>
      </c>
      <c r="J1444" s="2">
        <f t="shared" si="45"/>
        <v>-0.2066512036108325</v>
      </c>
    </row>
    <row r="1445" spans="1:10" x14ac:dyDescent="0.3">
      <c r="A1445" s="1">
        <v>45411</v>
      </c>
      <c r="B1445">
        <v>1463.75</v>
      </c>
      <c r="C1445">
        <v>448.48</v>
      </c>
      <c r="D1445">
        <v>10</v>
      </c>
      <c r="E1445" s="2" t="s">
        <v>13</v>
      </c>
      <c r="F1445" s="2" t="s">
        <v>17</v>
      </c>
      <c r="G1445" s="2" t="s">
        <v>14</v>
      </c>
      <c r="H1445" s="2" t="s">
        <v>20</v>
      </c>
      <c r="I1445" s="2">
        <f t="shared" si="44"/>
        <v>1015.27</v>
      </c>
      <c r="J1445" s="2">
        <f t="shared" si="45"/>
        <v>2.2638021762397429</v>
      </c>
    </row>
    <row r="1446" spans="1:10" x14ac:dyDescent="0.3">
      <c r="A1446" s="1">
        <v>45368</v>
      </c>
      <c r="B1446">
        <v>511.44</v>
      </c>
      <c r="C1446">
        <v>178.24</v>
      </c>
      <c r="D1446">
        <v>2</v>
      </c>
      <c r="E1446" s="2" t="s">
        <v>16</v>
      </c>
      <c r="F1446" s="2" t="s">
        <v>9</v>
      </c>
      <c r="G1446" s="2" t="s">
        <v>14</v>
      </c>
      <c r="H1446" s="2" t="s">
        <v>18</v>
      </c>
      <c r="I1446" s="2">
        <f t="shared" si="44"/>
        <v>333.2</v>
      </c>
      <c r="J1446" s="2">
        <f t="shared" si="45"/>
        <v>1.8693895870736084</v>
      </c>
    </row>
    <row r="1447" spans="1:10" x14ac:dyDescent="0.3">
      <c r="A1447" s="1">
        <v>45335</v>
      </c>
      <c r="B1447">
        <v>755.69</v>
      </c>
      <c r="C1447">
        <v>295.87</v>
      </c>
      <c r="D1447">
        <v>9</v>
      </c>
      <c r="E1447" s="2" t="s">
        <v>8</v>
      </c>
      <c r="F1447" s="2" t="s">
        <v>17</v>
      </c>
      <c r="G1447" s="2" t="s">
        <v>12</v>
      </c>
      <c r="H1447" s="2" t="s">
        <v>15</v>
      </c>
      <c r="I1447" s="2">
        <f t="shared" si="44"/>
        <v>459.82000000000005</v>
      </c>
      <c r="J1447" s="2">
        <f t="shared" si="45"/>
        <v>1.5541285023828033</v>
      </c>
    </row>
    <row r="1448" spans="1:10" x14ac:dyDescent="0.3">
      <c r="A1448" s="1">
        <v>45377</v>
      </c>
      <c r="B1448">
        <v>408.6</v>
      </c>
      <c r="C1448">
        <v>186.67</v>
      </c>
      <c r="D1448">
        <v>6</v>
      </c>
      <c r="E1448" s="2" t="s">
        <v>13</v>
      </c>
      <c r="F1448" s="2" t="s">
        <v>9</v>
      </c>
      <c r="G1448" s="2" t="s">
        <v>10</v>
      </c>
      <c r="H1448" s="2" t="s">
        <v>18</v>
      </c>
      <c r="I1448" s="2">
        <f t="shared" si="44"/>
        <v>221.93000000000004</v>
      </c>
      <c r="J1448" s="2">
        <f t="shared" si="45"/>
        <v>1.1888894841163553</v>
      </c>
    </row>
    <row r="1449" spans="1:10" x14ac:dyDescent="0.3">
      <c r="A1449" s="1">
        <v>45384</v>
      </c>
      <c r="B1449">
        <v>1185.6400000000001</v>
      </c>
      <c r="C1449">
        <v>203.93</v>
      </c>
      <c r="D1449">
        <v>3</v>
      </c>
      <c r="E1449" s="2" t="s">
        <v>16</v>
      </c>
      <c r="F1449" s="2" t="s">
        <v>17</v>
      </c>
      <c r="G1449" s="2" t="s">
        <v>10</v>
      </c>
      <c r="H1449" s="2" t="s">
        <v>20</v>
      </c>
      <c r="I1449" s="2">
        <f t="shared" si="44"/>
        <v>981.71</v>
      </c>
      <c r="J1449" s="2">
        <f t="shared" si="45"/>
        <v>4.8139557691364683</v>
      </c>
    </row>
    <row r="1450" spans="1:10" x14ac:dyDescent="0.3">
      <c r="A1450" s="1">
        <v>45313</v>
      </c>
      <c r="B1450">
        <v>964.1</v>
      </c>
      <c r="C1450">
        <v>97.74</v>
      </c>
      <c r="D1450">
        <v>7</v>
      </c>
      <c r="E1450" s="2" t="s">
        <v>8</v>
      </c>
      <c r="F1450" s="2" t="s">
        <v>17</v>
      </c>
      <c r="G1450" s="2" t="s">
        <v>14</v>
      </c>
      <c r="H1450" s="2" t="s">
        <v>15</v>
      </c>
      <c r="I1450" s="2">
        <f t="shared" si="44"/>
        <v>866.36</v>
      </c>
      <c r="J1450" s="2">
        <f t="shared" si="45"/>
        <v>8.8639246981788418</v>
      </c>
    </row>
    <row r="1451" spans="1:10" x14ac:dyDescent="0.3">
      <c r="A1451" s="1">
        <v>45294</v>
      </c>
      <c r="B1451">
        <v>809.79</v>
      </c>
      <c r="C1451">
        <v>93.28</v>
      </c>
      <c r="D1451">
        <v>4</v>
      </c>
      <c r="E1451" s="2" t="s">
        <v>16</v>
      </c>
      <c r="F1451" s="2" t="s">
        <v>17</v>
      </c>
      <c r="G1451" s="2" t="s">
        <v>14</v>
      </c>
      <c r="H1451" s="2" t="s">
        <v>11</v>
      </c>
      <c r="I1451" s="2">
        <f t="shared" si="44"/>
        <v>716.51</v>
      </c>
      <c r="J1451" s="2">
        <f t="shared" si="45"/>
        <v>7.6812821612349911</v>
      </c>
    </row>
    <row r="1452" spans="1:10" x14ac:dyDescent="0.3">
      <c r="A1452" s="1">
        <v>45365</v>
      </c>
      <c r="B1452">
        <v>354.65</v>
      </c>
      <c r="C1452">
        <v>347.54</v>
      </c>
      <c r="D1452">
        <v>4</v>
      </c>
      <c r="E1452" s="2" t="s">
        <v>8</v>
      </c>
      <c r="F1452" s="2" t="s">
        <v>17</v>
      </c>
      <c r="G1452" s="2" t="s">
        <v>14</v>
      </c>
      <c r="H1452" s="2" t="s">
        <v>18</v>
      </c>
      <c r="I1452" s="2">
        <f t="shared" si="44"/>
        <v>7.1099999999999568</v>
      </c>
      <c r="J1452" s="2">
        <f t="shared" si="45"/>
        <v>2.045807676814167E-2</v>
      </c>
    </row>
    <row r="1453" spans="1:10" x14ac:dyDescent="0.3">
      <c r="A1453" s="1">
        <v>45334</v>
      </c>
      <c r="B1453">
        <v>525.11</v>
      </c>
      <c r="C1453">
        <v>133.6</v>
      </c>
      <c r="D1453">
        <v>0</v>
      </c>
      <c r="E1453" s="2" t="s">
        <v>13</v>
      </c>
      <c r="F1453" s="2" t="s">
        <v>17</v>
      </c>
      <c r="G1453" s="2" t="s">
        <v>14</v>
      </c>
      <c r="H1453" s="2" t="s">
        <v>11</v>
      </c>
      <c r="I1453" s="2">
        <f t="shared" si="44"/>
        <v>391.51</v>
      </c>
      <c r="J1453" s="2">
        <f t="shared" si="45"/>
        <v>2.9304640718562873</v>
      </c>
    </row>
    <row r="1454" spans="1:10" x14ac:dyDescent="0.3">
      <c r="A1454" s="1">
        <v>45344</v>
      </c>
      <c r="B1454">
        <v>1274.43</v>
      </c>
      <c r="C1454">
        <v>441.28</v>
      </c>
      <c r="D1454">
        <v>8</v>
      </c>
      <c r="E1454" s="2" t="s">
        <v>13</v>
      </c>
      <c r="F1454" s="2" t="s">
        <v>17</v>
      </c>
      <c r="G1454" s="2" t="s">
        <v>14</v>
      </c>
      <c r="H1454" s="2" t="s">
        <v>15</v>
      </c>
      <c r="I1454" s="2">
        <f t="shared" si="44"/>
        <v>833.15000000000009</v>
      </c>
      <c r="J1454" s="2">
        <f t="shared" si="45"/>
        <v>1.8880302755620018</v>
      </c>
    </row>
    <row r="1455" spans="1:10" x14ac:dyDescent="0.3">
      <c r="A1455" s="1">
        <v>45361</v>
      </c>
      <c r="B1455">
        <v>758.94</v>
      </c>
      <c r="C1455">
        <v>246.34</v>
      </c>
      <c r="D1455">
        <v>1</v>
      </c>
      <c r="E1455" s="2" t="s">
        <v>13</v>
      </c>
      <c r="F1455" s="2" t="s">
        <v>9</v>
      </c>
      <c r="G1455" s="2" t="s">
        <v>14</v>
      </c>
      <c r="H1455" s="2" t="s">
        <v>18</v>
      </c>
      <c r="I1455" s="2">
        <f t="shared" si="44"/>
        <v>512.6</v>
      </c>
      <c r="J1455" s="2">
        <f t="shared" si="45"/>
        <v>2.0808638467159213</v>
      </c>
    </row>
    <row r="1456" spans="1:10" x14ac:dyDescent="0.3">
      <c r="A1456" s="1">
        <v>45334</v>
      </c>
      <c r="B1456">
        <v>563.03</v>
      </c>
      <c r="C1456">
        <v>356.71</v>
      </c>
      <c r="D1456">
        <v>2</v>
      </c>
      <c r="E1456" s="2" t="s">
        <v>13</v>
      </c>
      <c r="F1456" s="2" t="s">
        <v>9</v>
      </c>
      <c r="G1456" s="2" t="s">
        <v>19</v>
      </c>
      <c r="H1456" s="2" t="s">
        <v>18</v>
      </c>
      <c r="I1456" s="2">
        <f t="shared" si="44"/>
        <v>206.32</v>
      </c>
      <c r="J1456" s="2">
        <f t="shared" si="45"/>
        <v>0.57839701718482806</v>
      </c>
    </row>
    <row r="1457" spans="1:10" x14ac:dyDescent="0.3">
      <c r="A1457" s="1">
        <v>45395</v>
      </c>
      <c r="B1457">
        <v>785.18</v>
      </c>
      <c r="C1457">
        <v>450.61</v>
      </c>
      <c r="D1457">
        <v>3</v>
      </c>
      <c r="E1457" s="2" t="s">
        <v>13</v>
      </c>
      <c r="F1457" s="2" t="s">
        <v>17</v>
      </c>
      <c r="G1457" s="2" t="s">
        <v>12</v>
      </c>
      <c r="H1457" s="2" t="s">
        <v>11</v>
      </c>
      <c r="I1457" s="2">
        <f t="shared" si="44"/>
        <v>334.56999999999994</v>
      </c>
      <c r="J1457" s="2">
        <f t="shared" si="45"/>
        <v>0.74248241272941107</v>
      </c>
    </row>
    <row r="1458" spans="1:10" x14ac:dyDescent="0.3">
      <c r="A1458" s="1">
        <v>45306</v>
      </c>
      <c r="B1458">
        <v>694.17</v>
      </c>
      <c r="C1458">
        <v>460.84</v>
      </c>
      <c r="D1458">
        <v>5</v>
      </c>
      <c r="E1458" s="2" t="s">
        <v>8</v>
      </c>
      <c r="F1458" s="2" t="s">
        <v>9</v>
      </c>
      <c r="G1458" s="2" t="s">
        <v>12</v>
      </c>
      <c r="H1458" s="2" t="s">
        <v>11</v>
      </c>
      <c r="I1458" s="2">
        <f t="shared" si="44"/>
        <v>233.32999999999998</v>
      </c>
      <c r="J1458" s="2">
        <f t="shared" si="45"/>
        <v>0.50631455602812259</v>
      </c>
    </row>
    <row r="1459" spans="1:10" x14ac:dyDescent="0.3">
      <c r="A1459" s="1">
        <v>45405</v>
      </c>
      <c r="B1459">
        <v>414.1</v>
      </c>
      <c r="C1459">
        <v>188.05</v>
      </c>
      <c r="D1459">
        <v>3</v>
      </c>
      <c r="E1459" s="2" t="s">
        <v>13</v>
      </c>
      <c r="F1459" s="2" t="s">
        <v>17</v>
      </c>
      <c r="G1459" s="2" t="s">
        <v>19</v>
      </c>
      <c r="H1459" s="2" t="s">
        <v>20</v>
      </c>
      <c r="I1459" s="2">
        <f t="shared" si="44"/>
        <v>226.05</v>
      </c>
      <c r="J1459" s="2">
        <f t="shared" si="45"/>
        <v>1.2020739165115661</v>
      </c>
    </row>
    <row r="1460" spans="1:10" x14ac:dyDescent="0.3">
      <c r="A1460" s="1">
        <v>45385</v>
      </c>
      <c r="B1460">
        <v>243.8</v>
      </c>
      <c r="C1460">
        <v>403.24</v>
      </c>
      <c r="D1460">
        <v>4</v>
      </c>
      <c r="E1460" s="2" t="s">
        <v>16</v>
      </c>
      <c r="F1460" s="2" t="s">
        <v>17</v>
      </c>
      <c r="G1460" s="2" t="s">
        <v>12</v>
      </c>
      <c r="H1460" s="2" t="s">
        <v>18</v>
      </c>
      <c r="I1460" s="2">
        <f t="shared" si="44"/>
        <v>-159.44</v>
      </c>
      <c r="J1460" s="2">
        <f t="shared" si="45"/>
        <v>-0.39539728201567304</v>
      </c>
    </row>
    <row r="1461" spans="1:10" x14ac:dyDescent="0.3">
      <c r="A1461" s="1">
        <v>45333</v>
      </c>
      <c r="B1461">
        <v>172.74</v>
      </c>
      <c r="C1461">
        <v>302.45</v>
      </c>
      <c r="D1461">
        <v>0</v>
      </c>
      <c r="E1461" s="2" t="s">
        <v>8</v>
      </c>
      <c r="F1461" s="2" t="s">
        <v>17</v>
      </c>
      <c r="G1461" s="2" t="s">
        <v>14</v>
      </c>
      <c r="H1461" s="2" t="s">
        <v>11</v>
      </c>
      <c r="I1461" s="2">
        <f t="shared" si="44"/>
        <v>-129.70999999999998</v>
      </c>
      <c r="J1461" s="2">
        <f t="shared" si="45"/>
        <v>-0.42886427508679115</v>
      </c>
    </row>
    <row r="1462" spans="1:10" x14ac:dyDescent="0.3">
      <c r="A1462" s="1">
        <v>45292</v>
      </c>
      <c r="B1462">
        <v>223.49</v>
      </c>
      <c r="C1462">
        <v>29.11</v>
      </c>
      <c r="D1462">
        <v>10</v>
      </c>
      <c r="E1462" s="2" t="s">
        <v>16</v>
      </c>
      <c r="F1462" s="2" t="s">
        <v>17</v>
      </c>
      <c r="G1462" s="2" t="s">
        <v>12</v>
      </c>
      <c r="H1462" s="2" t="s">
        <v>15</v>
      </c>
      <c r="I1462" s="2">
        <f t="shared" si="44"/>
        <v>194.38</v>
      </c>
      <c r="J1462" s="2">
        <f t="shared" si="45"/>
        <v>6.677430436276194</v>
      </c>
    </row>
    <row r="1463" spans="1:10" x14ac:dyDescent="0.3">
      <c r="A1463" s="1">
        <v>45293</v>
      </c>
      <c r="B1463">
        <v>780.53</v>
      </c>
      <c r="C1463">
        <v>310.67</v>
      </c>
      <c r="D1463">
        <v>6</v>
      </c>
      <c r="E1463" s="2" t="s">
        <v>8</v>
      </c>
      <c r="F1463" s="2" t="s">
        <v>9</v>
      </c>
      <c r="G1463" s="2" t="s">
        <v>14</v>
      </c>
      <c r="H1463" s="2" t="s">
        <v>18</v>
      </c>
      <c r="I1463" s="2">
        <f t="shared" si="44"/>
        <v>469.85999999999996</v>
      </c>
      <c r="J1463" s="2">
        <f t="shared" si="45"/>
        <v>1.5124086651430777</v>
      </c>
    </row>
    <row r="1464" spans="1:10" x14ac:dyDescent="0.3">
      <c r="A1464" s="1">
        <v>45332</v>
      </c>
      <c r="B1464">
        <v>1357.42</v>
      </c>
      <c r="C1464">
        <v>356.94</v>
      </c>
      <c r="D1464">
        <v>10</v>
      </c>
      <c r="E1464" s="2" t="s">
        <v>13</v>
      </c>
      <c r="F1464" s="2" t="s">
        <v>17</v>
      </c>
      <c r="G1464" s="2" t="s">
        <v>10</v>
      </c>
      <c r="H1464" s="2" t="s">
        <v>18</v>
      </c>
      <c r="I1464" s="2">
        <f t="shared" si="44"/>
        <v>1000.48</v>
      </c>
      <c r="J1464" s="2">
        <f t="shared" si="45"/>
        <v>2.8029360676864461</v>
      </c>
    </row>
    <row r="1465" spans="1:10" x14ac:dyDescent="0.3">
      <c r="A1465" s="1">
        <v>45407</v>
      </c>
      <c r="B1465">
        <v>307.77</v>
      </c>
      <c r="C1465">
        <v>174.54</v>
      </c>
      <c r="D1465">
        <v>5</v>
      </c>
      <c r="E1465" s="2" t="s">
        <v>8</v>
      </c>
      <c r="F1465" s="2" t="s">
        <v>9</v>
      </c>
      <c r="G1465" s="2" t="s">
        <v>14</v>
      </c>
      <c r="H1465" s="2" t="s">
        <v>11</v>
      </c>
      <c r="I1465" s="2">
        <f t="shared" si="44"/>
        <v>133.22999999999999</v>
      </c>
      <c r="J1465" s="2">
        <f t="shared" si="45"/>
        <v>0.76332072877277413</v>
      </c>
    </row>
    <row r="1466" spans="1:10" x14ac:dyDescent="0.3">
      <c r="A1466" s="1">
        <v>45378</v>
      </c>
      <c r="B1466">
        <v>481.72</v>
      </c>
      <c r="C1466">
        <v>185.15</v>
      </c>
      <c r="D1466">
        <v>1</v>
      </c>
      <c r="E1466" s="2" t="s">
        <v>8</v>
      </c>
      <c r="F1466" s="2" t="s">
        <v>17</v>
      </c>
      <c r="G1466" s="2" t="s">
        <v>19</v>
      </c>
      <c r="H1466" s="2" t="s">
        <v>20</v>
      </c>
      <c r="I1466" s="2">
        <f t="shared" si="44"/>
        <v>296.57000000000005</v>
      </c>
      <c r="J1466" s="2">
        <f t="shared" si="45"/>
        <v>1.6017823386443426</v>
      </c>
    </row>
    <row r="1467" spans="1:10" x14ac:dyDescent="0.3">
      <c r="A1467" s="1">
        <v>45334</v>
      </c>
      <c r="B1467">
        <v>1250.44</v>
      </c>
      <c r="C1467">
        <v>374.18</v>
      </c>
      <c r="D1467">
        <v>5</v>
      </c>
      <c r="E1467" s="2" t="s">
        <v>16</v>
      </c>
      <c r="F1467" s="2" t="s">
        <v>9</v>
      </c>
      <c r="G1467" s="2" t="s">
        <v>10</v>
      </c>
      <c r="H1467" s="2" t="s">
        <v>11</v>
      </c>
      <c r="I1467" s="2">
        <f t="shared" si="44"/>
        <v>876.26</v>
      </c>
      <c r="J1467" s="2">
        <f t="shared" si="45"/>
        <v>2.3418141001656956</v>
      </c>
    </row>
    <row r="1468" spans="1:10" x14ac:dyDescent="0.3">
      <c r="A1468" s="1">
        <v>45380</v>
      </c>
      <c r="B1468">
        <v>417.8</v>
      </c>
      <c r="C1468">
        <v>291.83</v>
      </c>
      <c r="D1468">
        <v>6</v>
      </c>
      <c r="E1468" s="2" t="s">
        <v>13</v>
      </c>
      <c r="F1468" s="2" t="s">
        <v>17</v>
      </c>
      <c r="G1468" s="2" t="s">
        <v>14</v>
      </c>
      <c r="H1468" s="2" t="s">
        <v>18</v>
      </c>
      <c r="I1468" s="2">
        <f t="shared" si="44"/>
        <v>125.97000000000003</v>
      </c>
      <c r="J1468" s="2">
        <f t="shared" si="45"/>
        <v>0.43165541582428135</v>
      </c>
    </row>
    <row r="1469" spans="1:10" x14ac:dyDescent="0.3">
      <c r="A1469" s="1">
        <v>45390</v>
      </c>
      <c r="B1469">
        <v>811.96</v>
      </c>
      <c r="C1469">
        <v>446.04</v>
      </c>
      <c r="D1469">
        <v>7</v>
      </c>
      <c r="E1469" s="2" t="s">
        <v>8</v>
      </c>
      <c r="F1469" s="2" t="s">
        <v>17</v>
      </c>
      <c r="G1469" s="2" t="s">
        <v>14</v>
      </c>
      <c r="H1469" s="2" t="s">
        <v>18</v>
      </c>
      <c r="I1469" s="2">
        <f t="shared" si="44"/>
        <v>365.92</v>
      </c>
      <c r="J1469" s="2">
        <f t="shared" si="45"/>
        <v>0.82037485427315937</v>
      </c>
    </row>
    <row r="1470" spans="1:10" x14ac:dyDescent="0.3">
      <c r="A1470" s="1">
        <v>45294</v>
      </c>
      <c r="B1470">
        <v>1026.46</v>
      </c>
      <c r="C1470">
        <v>137.61000000000001</v>
      </c>
      <c r="D1470">
        <v>9</v>
      </c>
      <c r="E1470" s="2" t="s">
        <v>13</v>
      </c>
      <c r="F1470" s="2" t="s">
        <v>9</v>
      </c>
      <c r="G1470" s="2" t="s">
        <v>12</v>
      </c>
      <c r="H1470" s="2" t="s">
        <v>20</v>
      </c>
      <c r="I1470" s="2">
        <f t="shared" si="44"/>
        <v>888.85</v>
      </c>
      <c r="J1470" s="2">
        <f t="shared" si="45"/>
        <v>6.4591962793401638</v>
      </c>
    </row>
    <row r="1471" spans="1:10" x14ac:dyDescent="0.3">
      <c r="A1471" s="1">
        <v>45309</v>
      </c>
      <c r="B1471">
        <v>1485.21</v>
      </c>
      <c r="C1471">
        <v>408.98</v>
      </c>
      <c r="D1471">
        <v>0</v>
      </c>
      <c r="E1471" s="2" t="s">
        <v>13</v>
      </c>
      <c r="F1471" s="2" t="s">
        <v>9</v>
      </c>
      <c r="G1471" s="2" t="s">
        <v>10</v>
      </c>
      <c r="H1471" s="2" t="s">
        <v>18</v>
      </c>
      <c r="I1471" s="2">
        <f t="shared" si="44"/>
        <v>1076.23</v>
      </c>
      <c r="J1471" s="2">
        <f t="shared" si="45"/>
        <v>2.6314978727566141</v>
      </c>
    </row>
    <row r="1472" spans="1:10" x14ac:dyDescent="0.3">
      <c r="A1472" s="1">
        <v>45398</v>
      </c>
      <c r="B1472">
        <v>320.98</v>
      </c>
      <c r="C1472">
        <v>75.02</v>
      </c>
      <c r="D1472">
        <v>0</v>
      </c>
      <c r="E1472" s="2" t="s">
        <v>8</v>
      </c>
      <c r="F1472" s="2" t="s">
        <v>17</v>
      </c>
      <c r="G1472" s="2" t="s">
        <v>14</v>
      </c>
      <c r="H1472" s="2" t="s">
        <v>11</v>
      </c>
      <c r="I1472" s="2">
        <f t="shared" si="44"/>
        <v>245.96000000000004</v>
      </c>
      <c r="J1472" s="2">
        <f t="shared" si="45"/>
        <v>3.2785923753665696</v>
      </c>
    </row>
    <row r="1473" spans="1:10" x14ac:dyDescent="0.3">
      <c r="A1473" s="1">
        <v>45337</v>
      </c>
      <c r="B1473">
        <v>999.46</v>
      </c>
      <c r="C1473">
        <v>483.57</v>
      </c>
      <c r="D1473">
        <v>10</v>
      </c>
      <c r="E1473" s="2" t="s">
        <v>8</v>
      </c>
      <c r="F1473" s="2" t="s">
        <v>9</v>
      </c>
      <c r="G1473" s="2" t="s">
        <v>10</v>
      </c>
      <c r="H1473" s="2" t="s">
        <v>15</v>
      </c>
      <c r="I1473" s="2">
        <f t="shared" si="44"/>
        <v>515.8900000000001</v>
      </c>
      <c r="J1473" s="2">
        <f t="shared" si="45"/>
        <v>1.066836238807205</v>
      </c>
    </row>
    <row r="1474" spans="1:10" x14ac:dyDescent="0.3">
      <c r="A1474" s="1">
        <v>45361</v>
      </c>
      <c r="B1474">
        <v>439.19</v>
      </c>
      <c r="C1474">
        <v>94.36</v>
      </c>
      <c r="D1474">
        <v>3</v>
      </c>
      <c r="E1474" s="2" t="s">
        <v>16</v>
      </c>
      <c r="F1474" s="2" t="s">
        <v>17</v>
      </c>
      <c r="G1474" s="2" t="s">
        <v>10</v>
      </c>
      <c r="H1474" s="2" t="s">
        <v>18</v>
      </c>
      <c r="I1474" s="2">
        <f t="shared" ref="I1474:I1537" si="46">B1474-C1474</f>
        <v>344.83</v>
      </c>
      <c r="J1474" s="2">
        <f t="shared" ref="J1474:J1537" si="47">IF(C1474=0,0,I1474/C1474)</f>
        <v>3.6544086477320898</v>
      </c>
    </row>
    <row r="1475" spans="1:10" x14ac:dyDescent="0.3">
      <c r="A1475" s="1">
        <v>45381</v>
      </c>
      <c r="B1475">
        <v>944.18</v>
      </c>
      <c r="C1475">
        <v>131.47</v>
      </c>
      <c r="D1475">
        <v>0</v>
      </c>
      <c r="E1475" s="2" t="s">
        <v>8</v>
      </c>
      <c r="F1475" s="2" t="s">
        <v>9</v>
      </c>
      <c r="G1475" s="2" t="s">
        <v>19</v>
      </c>
      <c r="H1475" s="2" t="s">
        <v>18</v>
      </c>
      <c r="I1475" s="2">
        <f t="shared" si="46"/>
        <v>812.70999999999992</v>
      </c>
      <c r="J1475" s="2">
        <f t="shared" si="47"/>
        <v>6.1817144595725253</v>
      </c>
    </row>
    <row r="1476" spans="1:10" x14ac:dyDescent="0.3">
      <c r="A1476" s="1">
        <v>45305</v>
      </c>
      <c r="B1476">
        <v>1046.9100000000001</v>
      </c>
      <c r="C1476">
        <v>350.8</v>
      </c>
      <c r="D1476">
        <v>10</v>
      </c>
      <c r="E1476" s="2" t="s">
        <v>8</v>
      </c>
      <c r="F1476" s="2" t="s">
        <v>17</v>
      </c>
      <c r="G1476" s="2" t="s">
        <v>12</v>
      </c>
      <c r="H1476" s="2" t="s">
        <v>20</v>
      </c>
      <c r="I1476" s="2">
        <f t="shared" si="46"/>
        <v>696.11000000000013</v>
      </c>
      <c r="J1476" s="2">
        <f t="shared" si="47"/>
        <v>1.984350057012543</v>
      </c>
    </row>
    <row r="1477" spans="1:10" x14ac:dyDescent="0.3">
      <c r="A1477" s="1">
        <v>45294</v>
      </c>
      <c r="B1477">
        <v>776.59</v>
      </c>
      <c r="C1477">
        <v>442.62</v>
      </c>
      <c r="D1477">
        <v>10</v>
      </c>
      <c r="E1477" s="2" t="s">
        <v>8</v>
      </c>
      <c r="F1477" s="2" t="s">
        <v>17</v>
      </c>
      <c r="G1477" s="2" t="s">
        <v>12</v>
      </c>
      <c r="H1477" s="2" t="s">
        <v>15</v>
      </c>
      <c r="I1477" s="2">
        <f t="shared" si="46"/>
        <v>333.97</v>
      </c>
      <c r="J1477" s="2">
        <f t="shared" si="47"/>
        <v>0.75452984501378162</v>
      </c>
    </row>
    <row r="1478" spans="1:10" x14ac:dyDescent="0.3">
      <c r="A1478" s="1">
        <v>45379</v>
      </c>
      <c r="B1478">
        <v>1345.8</v>
      </c>
      <c r="C1478">
        <v>182.04</v>
      </c>
      <c r="D1478">
        <v>0</v>
      </c>
      <c r="E1478" s="2" t="s">
        <v>13</v>
      </c>
      <c r="F1478" s="2" t="s">
        <v>17</v>
      </c>
      <c r="G1478" s="2" t="s">
        <v>12</v>
      </c>
      <c r="H1478" s="2" t="s">
        <v>11</v>
      </c>
      <c r="I1478" s="2">
        <f t="shared" si="46"/>
        <v>1163.76</v>
      </c>
      <c r="J1478" s="2">
        <f t="shared" si="47"/>
        <v>6.3928806855636129</v>
      </c>
    </row>
    <row r="1479" spans="1:10" x14ac:dyDescent="0.3">
      <c r="A1479" s="1">
        <v>45353</v>
      </c>
      <c r="B1479">
        <v>1068.75</v>
      </c>
      <c r="C1479">
        <v>323.39</v>
      </c>
      <c r="D1479">
        <v>2</v>
      </c>
      <c r="E1479" s="2" t="s">
        <v>16</v>
      </c>
      <c r="F1479" s="2" t="s">
        <v>17</v>
      </c>
      <c r="G1479" s="2" t="s">
        <v>10</v>
      </c>
      <c r="H1479" s="2" t="s">
        <v>11</v>
      </c>
      <c r="I1479" s="2">
        <f t="shared" si="46"/>
        <v>745.36</v>
      </c>
      <c r="J1479" s="2">
        <f t="shared" si="47"/>
        <v>2.3048331735675194</v>
      </c>
    </row>
    <row r="1480" spans="1:10" x14ac:dyDescent="0.3">
      <c r="A1480" s="1">
        <v>45396</v>
      </c>
      <c r="B1480">
        <v>991.56</v>
      </c>
      <c r="C1480">
        <v>192.38</v>
      </c>
      <c r="D1480">
        <v>1</v>
      </c>
      <c r="E1480" s="2" t="s">
        <v>13</v>
      </c>
      <c r="F1480" s="2" t="s">
        <v>17</v>
      </c>
      <c r="G1480" s="2" t="s">
        <v>19</v>
      </c>
      <c r="H1480" s="2" t="s">
        <v>18</v>
      </c>
      <c r="I1480" s="2">
        <f t="shared" si="46"/>
        <v>799.18</v>
      </c>
      <c r="J1480" s="2">
        <f t="shared" si="47"/>
        <v>4.1541740305645076</v>
      </c>
    </row>
    <row r="1481" spans="1:10" x14ac:dyDescent="0.3">
      <c r="A1481" s="1">
        <v>45409</v>
      </c>
      <c r="B1481">
        <v>404.1</v>
      </c>
      <c r="C1481">
        <v>173.88</v>
      </c>
      <c r="D1481">
        <v>10</v>
      </c>
      <c r="E1481" s="2" t="s">
        <v>16</v>
      </c>
      <c r="F1481" s="2" t="s">
        <v>9</v>
      </c>
      <c r="G1481" s="2" t="s">
        <v>10</v>
      </c>
      <c r="H1481" s="2" t="s">
        <v>20</v>
      </c>
      <c r="I1481" s="2">
        <f t="shared" si="46"/>
        <v>230.22000000000003</v>
      </c>
      <c r="J1481" s="2">
        <f t="shared" si="47"/>
        <v>1.3240165631469982</v>
      </c>
    </row>
    <row r="1482" spans="1:10" x14ac:dyDescent="0.3">
      <c r="A1482" s="1">
        <v>45387</v>
      </c>
      <c r="B1482">
        <v>1085.48</v>
      </c>
      <c r="C1482">
        <v>275.68</v>
      </c>
      <c r="D1482">
        <v>4</v>
      </c>
      <c r="E1482" s="2" t="s">
        <v>16</v>
      </c>
      <c r="F1482" s="2" t="s">
        <v>9</v>
      </c>
      <c r="G1482" s="2" t="s">
        <v>12</v>
      </c>
      <c r="H1482" s="2" t="s">
        <v>11</v>
      </c>
      <c r="I1482" s="2">
        <f t="shared" si="46"/>
        <v>809.8</v>
      </c>
      <c r="J1482" s="2">
        <f t="shared" si="47"/>
        <v>2.9374637260591987</v>
      </c>
    </row>
    <row r="1483" spans="1:10" x14ac:dyDescent="0.3">
      <c r="A1483" s="1">
        <v>45361</v>
      </c>
      <c r="B1483">
        <v>760.18</v>
      </c>
      <c r="C1483">
        <v>34.75</v>
      </c>
      <c r="D1483">
        <v>9</v>
      </c>
      <c r="E1483" s="2" t="s">
        <v>16</v>
      </c>
      <c r="F1483" s="2" t="s">
        <v>17</v>
      </c>
      <c r="G1483" s="2" t="s">
        <v>12</v>
      </c>
      <c r="H1483" s="2" t="s">
        <v>11</v>
      </c>
      <c r="I1483" s="2">
        <f t="shared" si="46"/>
        <v>725.43</v>
      </c>
      <c r="J1483" s="2">
        <f t="shared" si="47"/>
        <v>20.875683453237407</v>
      </c>
    </row>
    <row r="1484" spans="1:10" x14ac:dyDescent="0.3">
      <c r="A1484" s="1">
        <v>45327</v>
      </c>
      <c r="B1484">
        <v>446.7</v>
      </c>
      <c r="C1484">
        <v>24.65</v>
      </c>
      <c r="D1484">
        <v>9</v>
      </c>
      <c r="E1484" s="2" t="s">
        <v>13</v>
      </c>
      <c r="F1484" s="2" t="s">
        <v>9</v>
      </c>
      <c r="G1484" s="2" t="s">
        <v>14</v>
      </c>
      <c r="H1484" s="2" t="s">
        <v>20</v>
      </c>
      <c r="I1484" s="2">
        <f t="shared" si="46"/>
        <v>422.05</v>
      </c>
      <c r="J1484" s="2">
        <f t="shared" si="47"/>
        <v>17.121703853955378</v>
      </c>
    </row>
    <row r="1485" spans="1:10" x14ac:dyDescent="0.3">
      <c r="A1485" s="1">
        <v>45341</v>
      </c>
      <c r="B1485">
        <v>446.24</v>
      </c>
      <c r="C1485">
        <v>445.79</v>
      </c>
      <c r="D1485">
        <v>1</v>
      </c>
      <c r="E1485" s="2" t="s">
        <v>8</v>
      </c>
      <c r="F1485" s="2" t="s">
        <v>9</v>
      </c>
      <c r="G1485" s="2" t="s">
        <v>12</v>
      </c>
      <c r="H1485" s="2" t="s">
        <v>11</v>
      </c>
      <c r="I1485" s="2">
        <f t="shared" si="46"/>
        <v>0.44999999999998863</v>
      </c>
      <c r="J1485" s="2">
        <f t="shared" si="47"/>
        <v>1.0094439085667885E-3</v>
      </c>
    </row>
    <row r="1486" spans="1:10" x14ac:dyDescent="0.3">
      <c r="A1486" s="1">
        <v>45399</v>
      </c>
      <c r="B1486">
        <v>185.85</v>
      </c>
      <c r="C1486">
        <v>105.04</v>
      </c>
      <c r="D1486">
        <v>8</v>
      </c>
      <c r="E1486" s="2" t="s">
        <v>16</v>
      </c>
      <c r="F1486" s="2" t="s">
        <v>17</v>
      </c>
      <c r="G1486" s="2" t="s">
        <v>10</v>
      </c>
      <c r="H1486" s="2" t="s">
        <v>18</v>
      </c>
      <c r="I1486" s="2">
        <f t="shared" si="46"/>
        <v>80.809999999999988</v>
      </c>
      <c r="J1486" s="2">
        <f t="shared" si="47"/>
        <v>0.7693259710586442</v>
      </c>
    </row>
    <row r="1487" spans="1:10" x14ac:dyDescent="0.3">
      <c r="A1487" s="1">
        <v>45388</v>
      </c>
      <c r="B1487">
        <v>946.79</v>
      </c>
      <c r="C1487">
        <v>82.24</v>
      </c>
      <c r="D1487">
        <v>8</v>
      </c>
      <c r="E1487" s="2" t="s">
        <v>8</v>
      </c>
      <c r="F1487" s="2" t="s">
        <v>9</v>
      </c>
      <c r="G1487" s="2" t="s">
        <v>19</v>
      </c>
      <c r="H1487" s="2" t="s">
        <v>11</v>
      </c>
      <c r="I1487" s="2">
        <f t="shared" si="46"/>
        <v>864.55</v>
      </c>
      <c r="J1487" s="2">
        <f t="shared" si="47"/>
        <v>10.512524319066149</v>
      </c>
    </row>
    <row r="1488" spans="1:10" x14ac:dyDescent="0.3">
      <c r="A1488" s="1">
        <v>45387</v>
      </c>
      <c r="B1488">
        <v>600.25</v>
      </c>
      <c r="C1488">
        <v>304.33</v>
      </c>
      <c r="D1488">
        <v>6</v>
      </c>
      <c r="E1488" s="2" t="s">
        <v>13</v>
      </c>
      <c r="F1488" s="2" t="s">
        <v>17</v>
      </c>
      <c r="G1488" s="2" t="s">
        <v>14</v>
      </c>
      <c r="H1488" s="2" t="s">
        <v>15</v>
      </c>
      <c r="I1488" s="2">
        <f t="shared" si="46"/>
        <v>295.92</v>
      </c>
      <c r="J1488" s="2">
        <f t="shared" si="47"/>
        <v>0.97236552426642142</v>
      </c>
    </row>
    <row r="1489" spans="1:10" x14ac:dyDescent="0.3">
      <c r="A1489" s="1">
        <v>45346</v>
      </c>
      <c r="B1489">
        <v>1325.26</v>
      </c>
      <c r="C1489">
        <v>237.96</v>
      </c>
      <c r="D1489">
        <v>5</v>
      </c>
      <c r="E1489" s="2" t="s">
        <v>16</v>
      </c>
      <c r="F1489" s="2" t="s">
        <v>9</v>
      </c>
      <c r="G1489" s="2" t="s">
        <v>14</v>
      </c>
      <c r="H1489" s="2" t="s">
        <v>15</v>
      </c>
      <c r="I1489" s="2">
        <f t="shared" si="46"/>
        <v>1087.3</v>
      </c>
      <c r="J1489" s="2">
        <f t="shared" si="47"/>
        <v>4.5692553370314339</v>
      </c>
    </row>
    <row r="1490" spans="1:10" x14ac:dyDescent="0.3">
      <c r="A1490" s="1">
        <v>45301</v>
      </c>
      <c r="B1490">
        <v>1418.86</v>
      </c>
      <c r="C1490">
        <v>378.28</v>
      </c>
      <c r="D1490">
        <v>9</v>
      </c>
      <c r="E1490" s="2" t="s">
        <v>13</v>
      </c>
      <c r="F1490" s="2" t="s">
        <v>17</v>
      </c>
      <c r="G1490" s="2" t="s">
        <v>14</v>
      </c>
      <c r="H1490" s="2" t="s">
        <v>11</v>
      </c>
      <c r="I1490" s="2">
        <f t="shared" si="46"/>
        <v>1040.58</v>
      </c>
      <c r="J1490" s="2">
        <f t="shared" si="47"/>
        <v>2.7508194987839696</v>
      </c>
    </row>
    <row r="1491" spans="1:10" x14ac:dyDescent="0.3">
      <c r="A1491" s="1">
        <v>45373</v>
      </c>
      <c r="B1491">
        <v>370.34</v>
      </c>
      <c r="C1491">
        <v>404.59</v>
      </c>
      <c r="D1491">
        <v>6</v>
      </c>
      <c r="E1491" s="2" t="s">
        <v>13</v>
      </c>
      <c r="F1491" s="2" t="s">
        <v>9</v>
      </c>
      <c r="G1491" s="2" t="s">
        <v>12</v>
      </c>
      <c r="H1491" s="2" t="s">
        <v>20</v>
      </c>
      <c r="I1491" s="2">
        <f t="shared" si="46"/>
        <v>-34.25</v>
      </c>
      <c r="J1491" s="2">
        <f t="shared" si="47"/>
        <v>-8.4653599940680696E-2</v>
      </c>
    </row>
    <row r="1492" spans="1:10" x14ac:dyDescent="0.3">
      <c r="A1492" s="1">
        <v>45364</v>
      </c>
      <c r="B1492">
        <v>907.19</v>
      </c>
      <c r="C1492">
        <v>103.59</v>
      </c>
      <c r="D1492">
        <v>4</v>
      </c>
      <c r="E1492" s="2" t="s">
        <v>8</v>
      </c>
      <c r="F1492" s="2" t="s">
        <v>9</v>
      </c>
      <c r="G1492" s="2" t="s">
        <v>14</v>
      </c>
      <c r="H1492" s="2" t="s">
        <v>18</v>
      </c>
      <c r="I1492" s="2">
        <f t="shared" si="46"/>
        <v>803.6</v>
      </c>
      <c r="J1492" s="2">
        <f t="shared" si="47"/>
        <v>7.7575055507288351</v>
      </c>
    </row>
    <row r="1493" spans="1:10" x14ac:dyDescent="0.3">
      <c r="A1493" s="1">
        <v>45317</v>
      </c>
      <c r="B1493">
        <v>100.83</v>
      </c>
      <c r="C1493">
        <v>126.87</v>
      </c>
      <c r="D1493">
        <v>2</v>
      </c>
      <c r="E1493" s="2" t="s">
        <v>13</v>
      </c>
      <c r="F1493" s="2" t="s">
        <v>9</v>
      </c>
      <c r="G1493" s="2" t="s">
        <v>12</v>
      </c>
      <c r="H1493" s="2" t="s">
        <v>18</v>
      </c>
      <c r="I1493" s="2">
        <f t="shared" si="46"/>
        <v>-26.040000000000006</v>
      </c>
      <c r="J1493" s="2">
        <f t="shared" si="47"/>
        <v>-0.2052494679593285</v>
      </c>
    </row>
    <row r="1494" spans="1:10" x14ac:dyDescent="0.3">
      <c r="A1494" s="1">
        <v>45308</v>
      </c>
      <c r="B1494">
        <v>1332.47</v>
      </c>
      <c r="C1494">
        <v>62.59</v>
      </c>
      <c r="D1494">
        <v>10</v>
      </c>
      <c r="E1494" s="2" t="s">
        <v>16</v>
      </c>
      <c r="F1494" s="2" t="s">
        <v>9</v>
      </c>
      <c r="G1494" s="2" t="s">
        <v>12</v>
      </c>
      <c r="H1494" s="2" t="s">
        <v>18</v>
      </c>
      <c r="I1494" s="2">
        <f t="shared" si="46"/>
        <v>1269.8800000000001</v>
      </c>
      <c r="J1494" s="2">
        <f t="shared" si="47"/>
        <v>20.288864035788464</v>
      </c>
    </row>
    <row r="1495" spans="1:10" x14ac:dyDescent="0.3">
      <c r="A1495" s="1">
        <v>45320</v>
      </c>
      <c r="B1495">
        <v>1216.45</v>
      </c>
      <c r="C1495">
        <v>337.74</v>
      </c>
      <c r="D1495">
        <v>7</v>
      </c>
      <c r="E1495" s="2" t="s">
        <v>16</v>
      </c>
      <c r="F1495" s="2" t="s">
        <v>9</v>
      </c>
      <c r="G1495" s="2" t="s">
        <v>19</v>
      </c>
      <c r="H1495" s="2" t="s">
        <v>11</v>
      </c>
      <c r="I1495" s="2">
        <f t="shared" si="46"/>
        <v>878.71</v>
      </c>
      <c r="J1495" s="2">
        <f t="shared" si="47"/>
        <v>2.6017350624740927</v>
      </c>
    </row>
    <row r="1496" spans="1:10" x14ac:dyDescent="0.3">
      <c r="A1496" s="1">
        <v>45375</v>
      </c>
      <c r="B1496">
        <v>745.07</v>
      </c>
      <c r="C1496">
        <v>347.19</v>
      </c>
      <c r="D1496">
        <v>0</v>
      </c>
      <c r="E1496" s="2" t="s">
        <v>16</v>
      </c>
      <c r="F1496" s="2" t="s">
        <v>9</v>
      </c>
      <c r="G1496" s="2" t="s">
        <v>14</v>
      </c>
      <c r="H1496" s="2" t="s">
        <v>20</v>
      </c>
      <c r="I1496" s="2">
        <f t="shared" si="46"/>
        <v>397.88000000000005</v>
      </c>
      <c r="J1496" s="2">
        <f t="shared" si="47"/>
        <v>1.1460007488694952</v>
      </c>
    </row>
    <row r="1497" spans="1:10" x14ac:dyDescent="0.3">
      <c r="A1497" s="1">
        <v>45403</v>
      </c>
      <c r="B1497">
        <v>344.76</v>
      </c>
      <c r="C1497">
        <v>451.99</v>
      </c>
      <c r="D1497">
        <v>9</v>
      </c>
      <c r="E1497" s="2" t="s">
        <v>13</v>
      </c>
      <c r="F1497" s="2" t="s">
        <v>9</v>
      </c>
      <c r="G1497" s="2" t="s">
        <v>14</v>
      </c>
      <c r="H1497" s="2" t="s">
        <v>20</v>
      </c>
      <c r="I1497" s="2">
        <f t="shared" si="46"/>
        <v>-107.23000000000002</v>
      </c>
      <c r="J1497" s="2">
        <f t="shared" si="47"/>
        <v>-0.2372397619416359</v>
      </c>
    </row>
    <row r="1498" spans="1:10" x14ac:dyDescent="0.3">
      <c r="A1498" s="1">
        <v>45382</v>
      </c>
      <c r="B1498">
        <v>513.29999999999995</v>
      </c>
      <c r="C1498">
        <v>247.82</v>
      </c>
      <c r="D1498">
        <v>4</v>
      </c>
      <c r="E1498" s="2" t="s">
        <v>16</v>
      </c>
      <c r="F1498" s="2" t="s">
        <v>17</v>
      </c>
      <c r="G1498" s="2" t="s">
        <v>12</v>
      </c>
      <c r="H1498" s="2" t="s">
        <v>11</v>
      </c>
      <c r="I1498" s="2">
        <f t="shared" si="46"/>
        <v>265.47999999999996</v>
      </c>
      <c r="J1498" s="2">
        <f t="shared" si="47"/>
        <v>1.0712613994027922</v>
      </c>
    </row>
    <row r="1499" spans="1:10" x14ac:dyDescent="0.3">
      <c r="A1499" s="1">
        <v>45338</v>
      </c>
      <c r="B1499">
        <v>534.83000000000004</v>
      </c>
      <c r="C1499">
        <v>236.25</v>
      </c>
      <c r="D1499">
        <v>1</v>
      </c>
      <c r="E1499" s="2" t="s">
        <v>8</v>
      </c>
      <c r="F1499" s="2" t="s">
        <v>9</v>
      </c>
      <c r="G1499" s="2" t="s">
        <v>10</v>
      </c>
      <c r="H1499" s="2" t="s">
        <v>11</v>
      </c>
      <c r="I1499" s="2">
        <f t="shared" si="46"/>
        <v>298.58000000000004</v>
      </c>
      <c r="J1499" s="2">
        <f t="shared" si="47"/>
        <v>1.263830687830688</v>
      </c>
    </row>
    <row r="1500" spans="1:10" x14ac:dyDescent="0.3">
      <c r="A1500" s="1">
        <v>45394</v>
      </c>
      <c r="B1500">
        <v>874.74</v>
      </c>
      <c r="C1500">
        <v>53.14</v>
      </c>
      <c r="D1500">
        <v>6</v>
      </c>
      <c r="E1500" s="2" t="s">
        <v>13</v>
      </c>
      <c r="F1500" s="2" t="s">
        <v>17</v>
      </c>
      <c r="G1500" s="2" t="s">
        <v>10</v>
      </c>
      <c r="H1500" s="2" t="s">
        <v>18</v>
      </c>
      <c r="I1500" s="2">
        <f t="shared" si="46"/>
        <v>821.6</v>
      </c>
      <c r="J1500" s="2">
        <f t="shared" si="47"/>
        <v>15.461046292811442</v>
      </c>
    </row>
    <row r="1501" spans="1:10" x14ac:dyDescent="0.3">
      <c r="A1501" s="1">
        <v>45313</v>
      </c>
      <c r="B1501">
        <v>282.87</v>
      </c>
      <c r="C1501">
        <v>353.45</v>
      </c>
      <c r="D1501">
        <v>5</v>
      </c>
      <c r="E1501" s="2" t="s">
        <v>13</v>
      </c>
      <c r="F1501" s="2" t="s">
        <v>9</v>
      </c>
      <c r="G1501" s="2" t="s">
        <v>19</v>
      </c>
      <c r="H1501" s="2" t="s">
        <v>15</v>
      </c>
      <c r="I1501" s="2">
        <f t="shared" si="46"/>
        <v>-70.579999999999984</v>
      </c>
      <c r="J1501" s="2">
        <f t="shared" si="47"/>
        <v>-0.1996887820059414</v>
      </c>
    </row>
    <row r="1502" spans="1:10" x14ac:dyDescent="0.3">
      <c r="A1502" s="1">
        <v>45294</v>
      </c>
      <c r="B1502">
        <v>1400.87</v>
      </c>
      <c r="C1502">
        <v>287.81</v>
      </c>
      <c r="D1502">
        <v>8</v>
      </c>
      <c r="E1502" s="2" t="s">
        <v>13</v>
      </c>
      <c r="F1502" s="2" t="s">
        <v>9</v>
      </c>
      <c r="G1502" s="2" t="s">
        <v>19</v>
      </c>
      <c r="H1502" s="2" t="s">
        <v>11</v>
      </c>
      <c r="I1502" s="2">
        <f t="shared" si="46"/>
        <v>1113.06</v>
      </c>
      <c r="J1502" s="2">
        <f t="shared" si="47"/>
        <v>3.867343038810326</v>
      </c>
    </row>
    <row r="1503" spans="1:10" x14ac:dyDescent="0.3">
      <c r="A1503" s="1">
        <v>45329</v>
      </c>
      <c r="B1503">
        <v>994.39</v>
      </c>
      <c r="C1503">
        <v>156.80000000000001</v>
      </c>
      <c r="D1503">
        <v>1</v>
      </c>
      <c r="E1503" s="2" t="s">
        <v>16</v>
      </c>
      <c r="F1503" s="2" t="s">
        <v>9</v>
      </c>
      <c r="G1503" s="2" t="s">
        <v>19</v>
      </c>
      <c r="H1503" s="2" t="s">
        <v>18</v>
      </c>
      <c r="I1503" s="2">
        <f t="shared" si="46"/>
        <v>837.58999999999992</v>
      </c>
      <c r="J1503" s="2">
        <f t="shared" si="47"/>
        <v>5.3417729591836727</v>
      </c>
    </row>
    <row r="1504" spans="1:10" x14ac:dyDescent="0.3">
      <c r="A1504" s="1">
        <v>45344</v>
      </c>
      <c r="B1504">
        <v>744.21</v>
      </c>
      <c r="C1504">
        <v>351.59</v>
      </c>
      <c r="D1504">
        <v>10</v>
      </c>
      <c r="E1504" s="2" t="s">
        <v>13</v>
      </c>
      <c r="F1504" s="2" t="s">
        <v>9</v>
      </c>
      <c r="G1504" s="2" t="s">
        <v>12</v>
      </c>
      <c r="H1504" s="2" t="s">
        <v>11</v>
      </c>
      <c r="I1504" s="2">
        <f t="shared" si="46"/>
        <v>392.62000000000006</v>
      </c>
      <c r="J1504" s="2">
        <f t="shared" si="47"/>
        <v>1.1166984271452547</v>
      </c>
    </row>
    <row r="1505" spans="1:10" x14ac:dyDescent="0.3">
      <c r="A1505" s="1">
        <v>45363</v>
      </c>
      <c r="B1505">
        <v>932.63</v>
      </c>
      <c r="C1505">
        <v>430.2</v>
      </c>
      <c r="D1505">
        <v>2</v>
      </c>
      <c r="E1505" s="2" t="s">
        <v>16</v>
      </c>
      <c r="F1505" s="2" t="s">
        <v>17</v>
      </c>
      <c r="G1505" s="2" t="s">
        <v>10</v>
      </c>
      <c r="H1505" s="2" t="s">
        <v>15</v>
      </c>
      <c r="I1505" s="2">
        <f t="shared" si="46"/>
        <v>502.43</v>
      </c>
      <c r="J1505" s="2">
        <f t="shared" si="47"/>
        <v>1.1678986517898653</v>
      </c>
    </row>
    <row r="1506" spans="1:10" x14ac:dyDescent="0.3">
      <c r="A1506" s="1">
        <v>45323</v>
      </c>
      <c r="B1506">
        <v>570.63</v>
      </c>
      <c r="C1506">
        <v>111.22</v>
      </c>
      <c r="D1506">
        <v>4</v>
      </c>
      <c r="E1506" s="2" t="s">
        <v>8</v>
      </c>
      <c r="F1506" s="2" t="s">
        <v>17</v>
      </c>
      <c r="G1506" s="2" t="s">
        <v>14</v>
      </c>
      <c r="H1506" s="2" t="s">
        <v>11</v>
      </c>
      <c r="I1506" s="2">
        <f t="shared" si="46"/>
        <v>459.40999999999997</v>
      </c>
      <c r="J1506" s="2">
        <f t="shared" si="47"/>
        <v>4.1306419708685489</v>
      </c>
    </row>
    <row r="1507" spans="1:10" x14ac:dyDescent="0.3">
      <c r="A1507" s="1">
        <v>45410</v>
      </c>
      <c r="B1507">
        <v>872.61</v>
      </c>
      <c r="C1507">
        <v>113.41</v>
      </c>
      <c r="D1507">
        <v>10</v>
      </c>
      <c r="E1507" s="2" t="s">
        <v>8</v>
      </c>
      <c r="F1507" s="2" t="s">
        <v>9</v>
      </c>
      <c r="G1507" s="2" t="s">
        <v>19</v>
      </c>
      <c r="H1507" s="2" t="s">
        <v>20</v>
      </c>
      <c r="I1507" s="2">
        <f t="shared" si="46"/>
        <v>759.2</v>
      </c>
      <c r="J1507" s="2">
        <f t="shared" si="47"/>
        <v>6.6942950357111375</v>
      </c>
    </row>
    <row r="1508" spans="1:10" x14ac:dyDescent="0.3">
      <c r="A1508" s="1">
        <v>45333</v>
      </c>
      <c r="B1508">
        <v>1261.97</v>
      </c>
      <c r="C1508">
        <v>382.05</v>
      </c>
      <c r="D1508">
        <v>5</v>
      </c>
      <c r="E1508" s="2" t="s">
        <v>8</v>
      </c>
      <c r="F1508" s="2" t="s">
        <v>9</v>
      </c>
      <c r="G1508" s="2" t="s">
        <v>12</v>
      </c>
      <c r="H1508" s="2" t="s">
        <v>11</v>
      </c>
      <c r="I1508" s="2">
        <f t="shared" si="46"/>
        <v>879.92000000000007</v>
      </c>
      <c r="J1508" s="2">
        <f t="shared" si="47"/>
        <v>2.303154037429656</v>
      </c>
    </row>
    <row r="1509" spans="1:10" x14ac:dyDescent="0.3">
      <c r="A1509" s="1">
        <v>45304</v>
      </c>
      <c r="B1509">
        <v>189.59</v>
      </c>
      <c r="C1509">
        <v>291.7</v>
      </c>
      <c r="D1509">
        <v>3</v>
      </c>
      <c r="E1509" s="2" t="s">
        <v>13</v>
      </c>
      <c r="F1509" s="2" t="s">
        <v>9</v>
      </c>
      <c r="G1509" s="2" t="s">
        <v>19</v>
      </c>
      <c r="H1509" s="2" t="s">
        <v>15</v>
      </c>
      <c r="I1509" s="2">
        <f t="shared" si="46"/>
        <v>-102.10999999999999</v>
      </c>
      <c r="J1509" s="2">
        <f t="shared" si="47"/>
        <v>-0.35005142269454914</v>
      </c>
    </row>
    <row r="1510" spans="1:10" x14ac:dyDescent="0.3">
      <c r="A1510" s="1">
        <v>45385</v>
      </c>
      <c r="B1510">
        <v>511.75</v>
      </c>
      <c r="C1510">
        <v>93.8</v>
      </c>
      <c r="D1510">
        <v>10</v>
      </c>
      <c r="E1510" s="2" t="s">
        <v>8</v>
      </c>
      <c r="F1510" s="2" t="s">
        <v>17</v>
      </c>
      <c r="G1510" s="2" t="s">
        <v>12</v>
      </c>
      <c r="H1510" s="2" t="s">
        <v>18</v>
      </c>
      <c r="I1510" s="2">
        <f t="shared" si="46"/>
        <v>417.95</v>
      </c>
      <c r="J1510" s="2">
        <f t="shared" si="47"/>
        <v>4.455756929637527</v>
      </c>
    </row>
    <row r="1511" spans="1:10" x14ac:dyDescent="0.3">
      <c r="A1511" s="1">
        <v>45293</v>
      </c>
      <c r="B1511">
        <v>687.32</v>
      </c>
      <c r="C1511">
        <v>414.64</v>
      </c>
      <c r="D1511">
        <v>6</v>
      </c>
      <c r="E1511" s="2" t="s">
        <v>16</v>
      </c>
      <c r="F1511" s="2" t="s">
        <v>17</v>
      </c>
      <c r="G1511" s="2" t="s">
        <v>14</v>
      </c>
      <c r="H1511" s="2" t="s">
        <v>18</v>
      </c>
      <c r="I1511" s="2">
        <f t="shared" si="46"/>
        <v>272.68000000000006</v>
      </c>
      <c r="J1511" s="2">
        <f t="shared" si="47"/>
        <v>0.65763071580165944</v>
      </c>
    </row>
    <row r="1512" spans="1:10" x14ac:dyDescent="0.3">
      <c r="A1512" s="1">
        <v>45326</v>
      </c>
      <c r="B1512">
        <v>634.61</v>
      </c>
      <c r="C1512">
        <v>316.06</v>
      </c>
      <c r="D1512">
        <v>4</v>
      </c>
      <c r="E1512" s="2" t="s">
        <v>8</v>
      </c>
      <c r="F1512" s="2" t="s">
        <v>9</v>
      </c>
      <c r="G1512" s="2" t="s">
        <v>19</v>
      </c>
      <c r="H1512" s="2" t="s">
        <v>11</v>
      </c>
      <c r="I1512" s="2">
        <f t="shared" si="46"/>
        <v>318.55</v>
      </c>
      <c r="J1512" s="2">
        <f t="shared" si="47"/>
        <v>1.0078782509650066</v>
      </c>
    </row>
    <row r="1513" spans="1:10" x14ac:dyDescent="0.3">
      <c r="A1513" s="1">
        <v>45320</v>
      </c>
      <c r="B1513">
        <v>379.69</v>
      </c>
      <c r="C1513">
        <v>125.77</v>
      </c>
      <c r="D1513">
        <v>6</v>
      </c>
      <c r="E1513" s="2" t="s">
        <v>13</v>
      </c>
      <c r="F1513" s="2" t="s">
        <v>17</v>
      </c>
      <c r="G1513" s="2" t="s">
        <v>12</v>
      </c>
      <c r="H1513" s="2" t="s">
        <v>18</v>
      </c>
      <c r="I1513" s="2">
        <f t="shared" si="46"/>
        <v>253.92000000000002</v>
      </c>
      <c r="J1513" s="2">
        <f t="shared" si="47"/>
        <v>2.0189234316609688</v>
      </c>
    </row>
    <row r="1514" spans="1:10" x14ac:dyDescent="0.3">
      <c r="A1514" s="1">
        <v>45340</v>
      </c>
      <c r="B1514">
        <v>949.49</v>
      </c>
      <c r="C1514">
        <v>98.91</v>
      </c>
      <c r="D1514">
        <v>0</v>
      </c>
      <c r="E1514" s="2" t="s">
        <v>16</v>
      </c>
      <c r="F1514" s="2" t="s">
        <v>9</v>
      </c>
      <c r="G1514" s="2" t="s">
        <v>14</v>
      </c>
      <c r="H1514" s="2" t="s">
        <v>11</v>
      </c>
      <c r="I1514" s="2">
        <f t="shared" si="46"/>
        <v>850.58</v>
      </c>
      <c r="J1514" s="2">
        <f t="shared" si="47"/>
        <v>8.5995349307451221</v>
      </c>
    </row>
    <row r="1515" spans="1:10" x14ac:dyDescent="0.3">
      <c r="A1515" s="1">
        <v>45350</v>
      </c>
      <c r="B1515">
        <v>329.4</v>
      </c>
      <c r="C1515">
        <v>124.41</v>
      </c>
      <c r="D1515">
        <v>5</v>
      </c>
      <c r="E1515" s="2" t="s">
        <v>13</v>
      </c>
      <c r="F1515" s="2" t="s">
        <v>9</v>
      </c>
      <c r="G1515" s="2" t="s">
        <v>14</v>
      </c>
      <c r="H1515" s="2" t="s">
        <v>18</v>
      </c>
      <c r="I1515" s="2">
        <f t="shared" si="46"/>
        <v>204.98999999999998</v>
      </c>
      <c r="J1515" s="2">
        <f t="shared" si="47"/>
        <v>1.6476971304557511</v>
      </c>
    </row>
    <row r="1516" spans="1:10" x14ac:dyDescent="0.3">
      <c r="A1516" s="1">
        <v>45351</v>
      </c>
      <c r="B1516">
        <v>851.59</v>
      </c>
      <c r="C1516">
        <v>205.74</v>
      </c>
      <c r="D1516">
        <v>6</v>
      </c>
      <c r="E1516" s="2" t="s">
        <v>13</v>
      </c>
      <c r="F1516" s="2" t="s">
        <v>17</v>
      </c>
      <c r="G1516" s="2" t="s">
        <v>12</v>
      </c>
      <c r="H1516" s="2" t="s">
        <v>15</v>
      </c>
      <c r="I1516" s="2">
        <f t="shared" si="46"/>
        <v>645.85</v>
      </c>
      <c r="J1516" s="2">
        <f t="shared" si="47"/>
        <v>3.1391562165840381</v>
      </c>
    </row>
    <row r="1517" spans="1:10" x14ac:dyDescent="0.3">
      <c r="A1517" s="1">
        <v>45368</v>
      </c>
      <c r="B1517">
        <v>712.15</v>
      </c>
      <c r="C1517">
        <v>376.38</v>
      </c>
      <c r="D1517">
        <v>7</v>
      </c>
      <c r="E1517" s="2" t="s">
        <v>13</v>
      </c>
      <c r="F1517" s="2" t="s">
        <v>9</v>
      </c>
      <c r="G1517" s="2" t="s">
        <v>14</v>
      </c>
      <c r="H1517" s="2" t="s">
        <v>18</v>
      </c>
      <c r="I1517" s="2">
        <f t="shared" si="46"/>
        <v>335.77</v>
      </c>
      <c r="J1517" s="2">
        <f t="shared" si="47"/>
        <v>0.89210372495881818</v>
      </c>
    </row>
    <row r="1518" spans="1:10" x14ac:dyDescent="0.3">
      <c r="A1518" s="1">
        <v>45377</v>
      </c>
      <c r="B1518">
        <v>72.25</v>
      </c>
      <c r="C1518">
        <v>171.21</v>
      </c>
      <c r="D1518">
        <v>5</v>
      </c>
      <c r="E1518" s="2" t="s">
        <v>13</v>
      </c>
      <c r="F1518" s="2" t="s">
        <v>17</v>
      </c>
      <c r="G1518" s="2" t="s">
        <v>19</v>
      </c>
      <c r="H1518" s="2" t="s">
        <v>15</v>
      </c>
      <c r="I1518" s="2">
        <f t="shared" si="46"/>
        <v>-98.960000000000008</v>
      </c>
      <c r="J1518" s="2">
        <f t="shared" si="47"/>
        <v>-0.57800362128380356</v>
      </c>
    </row>
    <row r="1519" spans="1:10" x14ac:dyDescent="0.3">
      <c r="A1519" s="1">
        <v>45336</v>
      </c>
      <c r="B1519">
        <v>885.73</v>
      </c>
      <c r="C1519">
        <v>252.9</v>
      </c>
      <c r="D1519">
        <v>0</v>
      </c>
      <c r="E1519" s="2" t="s">
        <v>16</v>
      </c>
      <c r="F1519" s="2" t="s">
        <v>9</v>
      </c>
      <c r="G1519" s="2" t="s">
        <v>14</v>
      </c>
      <c r="H1519" s="2" t="s">
        <v>11</v>
      </c>
      <c r="I1519" s="2">
        <f t="shared" si="46"/>
        <v>632.83000000000004</v>
      </c>
      <c r="J1519" s="2">
        <f t="shared" si="47"/>
        <v>2.5022933965994465</v>
      </c>
    </row>
    <row r="1520" spans="1:10" x14ac:dyDescent="0.3">
      <c r="A1520" s="1">
        <v>45315</v>
      </c>
      <c r="B1520">
        <v>1122.06</v>
      </c>
      <c r="C1520">
        <v>478.37</v>
      </c>
      <c r="D1520">
        <v>2</v>
      </c>
      <c r="E1520" s="2" t="s">
        <v>8</v>
      </c>
      <c r="F1520" s="2" t="s">
        <v>9</v>
      </c>
      <c r="G1520" s="2" t="s">
        <v>14</v>
      </c>
      <c r="H1520" s="2" t="s">
        <v>11</v>
      </c>
      <c r="I1520" s="2">
        <f t="shared" si="46"/>
        <v>643.68999999999994</v>
      </c>
      <c r="J1520" s="2">
        <f t="shared" si="47"/>
        <v>1.3455902335012646</v>
      </c>
    </row>
    <row r="1521" spans="1:10" x14ac:dyDescent="0.3">
      <c r="A1521" s="1">
        <v>45359</v>
      </c>
      <c r="B1521">
        <v>234.39</v>
      </c>
      <c r="C1521">
        <v>82.94</v>
      </c>
      <c r="D1521">
        <v>4</v>
      </c>
      <c r="E1521" s="2" t="s">
        <v>16</v>
      </c>
      <c r="F1521" s="2" t="s">
        <v>17</v>
      </c>
      <c r="G1521" s="2" t="s">
        <v>10</v>
      </c>
      <c r="H1521" s="2" t="s">
        <v>18</v>
      </c>
      <c r="I1521" s="2">
        <f t="shared" si="46"/>
        <v>151.44999999999999</v>
      </c>
      <c r="J1521" s="2">
        <f t="shared" si="47"/>
        <v>1.8260188087774294</v>
      </c>
    </row>
    <row r="1522" spans="1:10" x14ac:dyDescent="0.3">
      <c r="A1522" s="1">
        <v>45317</v>
      </c>
      <c r="B1522">
        <v>1233.26</v>
      </c>
      <c r="C1522">
        <v>456.79</v>
      </c>
      <c r="D1522">
        <v>6</v>
      </c>
      <c r="E1522" s="2" t="s">
        <v>13</v>
      </c>
      <c r="F1522" s="2" t="s">
        <v>9</v>
      </c>
      <c r="G1522" s="2" t="s">
        <v>12</v>
      </c>
      <c r="H1522" s="2" t="s">
        <v>20</v>
      </c>
      <c r="I1522" s="2">
        <f t="shared" si="46"/>
        <v>776.47</v>
      </c>
      <c r="J1522" s="2">
        <f t="shared" si="47"/>
        <v>1.6998401891459971</v>
      </c>
    </row>
    <row r="1523" spans="1:10" x14ac:dyDescent="0.3">
      <c r="A1523" s="1">
        <v>45379</v>
      </c>
      <c r="B1523">
        <v>1152.77</v>
      </c>
      <c r="C1523">
        <v>453.22</v>
      </c>
      <c r="D1523">
        <v>3</v>
      </c>
      <c r="E1523" s="2" t="s">
        <v>16</v>
      </c>
      <c r="F1523" s="2" t="s">
        <v>9</v>
      </c>
      <c r="G1523" s="2" t="s">
        <v>10</v>
      </c>
      <c r="H1523" s="2" t="s">
        <v>20</v>
      </c>
      <c r="I1523" s="2">
        <f t="shared" si="46"/>
        <v>699.55</v>
      </c>
      <c r="J1523" s="2">
        <f t="shared" si="47"/>
        <v>1.5435108777194297</v>
      </c>
    </row>
    <row r="1524" spans="1:10" x14ac:dyDescent="0.3">
      <c r="A1524" s="1">
        <v>45366</v>
      </c>
      <c r="B1524">
        <v>353.42</v>
      </c>
      <c r="C1524">
        <v>269.54000000000002</v>
      </c>
      <c r="D1524">
        <v>7</v>
      </c>
      <c r="E1524" s="2" t="s">
        <v>8</v>
      </c>
      <c r="F1524" s="2" t="s">
        <v>9</v>
      </c>
      <c r="G1524" s="2" t="s">
        <v>19</v>
      </c>
      <c r="H1524" s="2" t="s">
        <v>11</v>
      </c>
      <c r="I1524" s="2">
        <f t="shared" si="46"/>
        <v>83.88</v>
      </c>
      <c r="J1524" s="2">
        <f t="shared" si="47"/>
        <v>0.31119685389923568</v>
      </c>
    </row>
    <row r="1525" spans="1:10" x14ac:dyDescent="0.3">
      <c r="A1525" s="1">
        <v>45351</v>
      </c>
      <c r="B1525">
        <v>1204.5999999999999</v>
      </c>
      <c r="C1525">
        <v>70.12</v>
      </c>
      <c r="D1525">
        <v>2</v>
      </c>
      <c r="E1525" s="2" t="s">
        <v>8</v>
      </c>
      <c r="F1525" s="2" t="s">
        <v>17</v>
      </c>
      <c r="G1525" s="2" t="s">
        <v>10</v>
      </c>
      <c r="H1525" s="2" t="s">
        <v>18</v>
      </c>
      <c r="I1525" s="2">
        <f t="shared" si="46"/>
        <v>1134.48</v>
      </c>
      <c r="J1525" s="2">
        <f t="shared" si="47"/>
        <v>16.17912150598973</v>
      </c>
    </row>
    <row r="1526" spans="1:10" x14ac:dyDescent="0.3">
      <c r="A1526" s="1">
        <v>45384</v>
      </c>
      <c r="B1526">
        <v>477.3</v>
      </c>
      <c r="C1526">
        <v>363.18</v>
      </c>
      <c r="D1526">
        <v>3</v>
      </c>
      <c r="E1526" s="2" t="s">
        <v>16</v>
      </c>
      <c r="F1526" s="2" t="s">
        <v>9</v>
      </c>
      <c r="G1526" s="2" t="s">
        <v>14</v>
      </c>
      <c r="H1526" s="2" t="s">
        <v>18</v>
      </c>
      <c r="I1526" s="2">
        <f t="shared" si="46"/>
        <v>114.12</v>
      </c>
      <c r="J1526" s="2">
        <f t="shared" si="47"/>
        <v>0.31422435156120931</v>
      </c>
    </row>
    <row r="1527" spans="1:10" x14ac:dyDescent="0.3">
      <c r="A1527" s="1">
        <v>45388</v>
      </c>
      <c r="B1527">
        <v>178.93</v>
      </c>
      <c r="C1527">
        <v>441.52</v>
      </c>
      <c r="D1527">
        <v>7</v>
      </c>
      <c r="E1527" s="2" t="s">
        <v>8</v>
      </c>
      <c r="F1527" s="2" t="s">
        <v>17</v>
      </c>
      <c r="G1527" s="2" t="s">
        <v>19</v>
      </c>
      <c r="H1527" s="2" t="s">
        <v>11</v>
      </c>
      <c r="I1527" s="2">
        <f t="shared" si="46"/>
        <v>-262.58999999999997</v>
      </c>
      <c r="J1527" s="2">
        <f t="shared" si="47"/>
        <v>-0.59474089508969008</v>
      </c>
    </row>
    <row r="1528" spans="1:10" x14ac:dyDescent="0.3">
      <c r="A1528" s="1">
        <v>45299</v>
      </c>
      <c r="B1528">
        <v>1063.93</v>
      </c>
      <c r="C1528">
        <v>200.72</v>
      </c>
      <c r="D1528">
        <v>1</v>
      </c>
      <c r="E1528" s="2" t="s">
        <v>8</v>
      </c>
      <c r="F1528" s="2" t="s">
        <v>17</v>
      </c>
      <c r="G1528" s="2" t="s">
        <v>14</v>
      </c>
      <c r="H1528" s="2" t="s">
        <v>18</v>
      </c>
      <c r="I1528" s="2">
        <f t="shared" si="46"/>
        <v>863.21</v>
      </c>
      <c r="J1528" s="2">
        <f t="shared" si="47"/>
        <v>4.3005679553607017</v>
      </c>
    </row>
    <row r="1529" spans="1:10" x14ac:dyDescent="0.3">
      <c r="A1529" s="1">
        <v>45358</v>
      </c>
      <c r="B1529">
        <v>1130.55</v>
      </c>
      <c r="C1529">
        <v>370.61</v>
      </c>
      <c r="D1529">
        <v>6</v>
      </c>
      <c r="E1529" s="2" t="s">
        <v>16</v>
      </c>
      <c r="F1529" s="2" t="s">
        <v>17</v>
      </c>
      <c r="G1529" s="2" t="s">
        <v>19</v>
      </c>
      <c r="H1529" s="2" t="s">
        <v>18</v>
      </c>
      <c r="I1529" s="2">
        <f t="shared" si="46"/>
        <v>759.93999999999994</v>
      </c>
      <c r="J1529" s="2">
        <f t="shared" si="47"/>
        <v>2.0505113191764925</v>
      </c>
    </row>
    <row r="1530" spans="1:10" x14ac:dyDescent="0.3">
      <c r="A1530" s="1">
        <v>45337</v>
      </c>
      <c r="B1530">
        <v>192.85</v>
      </c>
      <c r="C1530">
        <v>444.92</v>
      </c>
      <c r="D1530">
        <v>5</v>
      </c>
      <c r="E1530" s="2" t="s">
        <v>16</v>
      </c>
      <c r="F1530" s="2" t="s">
        <v>9</v>
      </c>
      <c r="G1530" s="2" t="s">
        <v>12</v>
      </c>
      <c r="H1530" s="2" t="s">
        <v>18</v>
      </c>
      <c r="I1530" s="2">
        <f t="shared" si="46"/>
        <v>-252.07000000000002</v>
      </c>
      <c r="J1530" s="2">
        <f t="shared" si="47"/>
        <v>-0.56655129011957206</v>
      </c>
    </row>
    <row r="1531" spans="1:10" x14ac:dyDescent="0.3">
      <c r="A1531" s="1">
        <v>45405</v>
      </c>
      <c r="B1531">
        <v>529.66999999999996</v>
      </c>
      <c r="C1531">
        <v>439.2</v>
      </c>
      <c r="D1531">
        <v>8</v>
      </c>
      <c r="E1531" s="2" t="s">
        <v>13</v>
      </c>
      <c r="F1531" s="2" t="s">
        <v>9</v>
      </c>
      <c r="G1531" s="2" t="s">
        <v>14</v>
      </c>
      <c r="H1531" s="2" t="s">
        <v>11</v>
      </c>
      <c r="I1531" s="2">
        <f t="shared" si="46"/>
        <v>90.46999999999997</v>
      </c>
      <c r="J1531" s="2">
        <f t="shared" si="47"/>
        <v>0.2059881602914389</v>
      </c>
    </row>
    <row r="1532" spans="1:10" x14ac:dyDescent="0.3">
      <c r="A1532" s="1">
        <v>45374</v>
      </c>
      <c r="B1532">
        <v>181.95</v>
      </c>
      <c r="C1532">
        <v>60.04</v>
      </c>
      <c r="D1532">
        <v>6</v>
      </c>
      <c r="E1532" s="2" t="s">
        <v>13</v>
      </c>
      <c r="F1532" s="2" t="s">
        <v>9</v>
      </c>
      <c r="G1532" s="2" t="s">
        <v>14</v>
      </c>
      <c r="H1532" s="2" t="s">
        <v>11</v>
      </c>
      <c r="I1532" s="2">
        <f t="shared" si="46"/>
        <v>121.91</v>
      </c>
      <c r="J1532" s="2">
        <f t="shared" si="47"/>
        <v>2.0304796802131913</v>
      </c>
    </row>
    <row r="1533" spans="1:10" x14ac:dyDescent="0.3">
      <c r="A1533" s="1">
        <v>45349</v>
      </c>
      <c r="B1533">
        <v>459.04</v>
      </c>
      <c r="C1533">
        <v>67.400000000000006</v>
      </c>
      <c r="D1533">
        <v>7</v>
      </c>
      <c r="E1533" s="2" t="s">
        <v>8</v>
      </c>
      <c r="F1533" s="2" t="s">
        <v>9</v>
      </c>
      <c r="G1533" s="2" t="s">
        <v>19</v>
      </c>
      <c r="H1533" s="2" t="s">
        <v>15</v>
      </c>
      <c r="I1533" s="2">
        <f t="shared" si="46"/>
        <v>391.64</v>
      </c>
      <c r="J1533" s="2">
        <f t="shared" si="47"/>
        <v>5.8106824925816021</v>
      </c>
    </row>
    <row r="1534" spans="1:10" x14ac:dyDescent="0.3">
      <c r="A1534" s="1">
        <v>45313</v>
      </c>
      <c r="B1534">
        <v>457.19</v>
      </c>
      <c r="C1534">
        <v>487.24</v>
      </c>
      <c r="D1534">
        <v>4</v>
      </c>
      <c r="E1534" s="2" t="s">
        <v>8</v>
      </c>
      <c r="F1534" s="2" t="s">
        <v>17</v>
      </c>
      <c r="G1534" s="2" t="s">
        <v>12</v>
      </c>
      <c r="H1534" s="2" t="s">
        <v>11</v>
      </c>
      <c r="I1534" s="2">
        <f t="shared" si="46"/>
        <v>-30.050000000000011</v>
      </c>
      <c r="J1534" s="2">
        <f t="shared" si="47"/>
        <v>-6.1673918397504329E-2</v>
      </c>
    </row>
    <row r="1535" spans="1:10" x14ac:dyDescent="0.3">
      <c r="A1535" s="1">
        <v>45310</v>
      </c>
      <c r="B1535">
        <v>1076.03</v>
      </c>
      <c r="C1535">
        <v>474.87</v>
      </c>
      <c r="D1535">
        <v>6</v>
      </c>
      <c r="E1535" s="2" t="s">
        <v>16</v>
      </c>
      <c r="F1535" s="2" t="s">
        <v>17</v>
      </c>
      <c r="G1535" s="2" t="s">
        <v>10</v>
      </c>
      <c r="H1535" s="2" t="s">
        <v>15</v>
      </c>
      <c r="I1535" s="2">
        <f t="shared" si="46"/>
        <v>601.16</v>
      </c>
      <c r="J1535" s="2">
        <f t="shared" si="47"/>
        <v>1.2659464695600902</v>
      </c>
    </row>
    <row r="1536" spans="1:10" x14ac:dyDescent="0.3">
      <c r="A1536" s="1">
        <v>45354</v>
      </c>
      <c r="B1536">
        <v>1349.15</v>
      </c>
      <c r="C1536">
        <v>72.760000000000005</v>
      </c>
      <c r="D1536">
        <v>8</v>
      </c>
      <c r="E1536" s="2" t="s">
        <v>16</v>
      </c>
      <c r="F1536" s="2" t="s">
        <v>9</v>
      </c>
      <c r="G1536" s="2" t="s">
        <v>12</v>
      </c>
      <c r="H1536" s="2" t="s">
        <v>20</v>
      </c>
      <c r="I1536" s="2">
        <f t="shared" si="46"/>
        <v>1276.3900000000001</v>
      </c>
      <c r="J1536" s="2">
        <f t="shared" si="47"/>
        <v>17.542468389224847</v>
      </c>
    </row>
    <row r="1537" spans="1:10" x14ac:dyDescent="0.3">
      <c r="A1537" s="1">
        <v>45388</v>
      </c>
      <c r="B1537">
        <v>1172.08</v>
      </c>
      <c r="C1537">
        <v>55.75</v>
      </c>
      <c r="D1537">
        <v>2</v>
      </c>
      <c r="E1537" s="2" t="s">
        <v>16</v>
      </c>
      <c r="F1537" s="2" t="s">
        <v>9</v>
      </c>
      <c r="G1537" s="2" t="s">
        <v>10</v>
      </c>
      <c r="H1537" s="2" t="s">
        <v>18</v>
      </c>
      <c r="I1537" s="2">
        <f t="shared" si="46"/>
        <v>1116.33</v>
      </c>
      <c r="J1537" s="2">
        <f t="shared" si="47"/>
        <v>20.02385650224215</v>
      </c>
    </row>
    <row r="1538" spans="1:10" x14ac:dyDescent="0.3">
      <c r="A1538" s="1">
        <v>45407</v>
      </c>
      <c r="B1538">
        <v>1291.6400000000001</v>
      </c>
      <c r="C1538">
        <v>432.28</v>
      </c>
      <c r="D1538">
        <v>10</v>
      </c>
      <c r="E1538" s="2" t="s">
        <v>8</v>
      </c>
      <c r="F1538" s="2" t="s">
        <v>17</v>
      </c>
      <c r="G1538" s="2" t="s">
        <v>14</v>
      </c>
      <c r="H1538" s="2" t="s">
        <v>18</v>
      </c>
      <c r="I1538" s="2">
        <f t="shared" ref="I1538:I1601" si="48">B1538-C1538</f>
        <v>859.36000000000013</v>
      </c>
      <c r="J1538" s="2">
        <f t="shared" ref="J1538:J1601" si="49">IF(C1538=0,0,I1538/C1538)</f>
        <v>1.987970759692792</v>
      </c>
    </row>
    <row r="1539" spans="1:10" x14ac:dyDescent="0.3">
      <c r="A1539" s="1">
        <v>45357</v>
      </c>
      <c r="B1539">
        <v>954.37</v>
      </c>
      <c r="C1539">
        <v>93.99</v>
      </c>
      <c r="D1539">
        <v>0</v>
      </c>
      <c r="E1539" s="2" t="s">
        <v>8</v>
      </c>
      <c r="F1539" s="2" t="s">
        <v>17</v>
      </c>
      <c r="G1539" s="2" t="s">
        <v>19</v>
      </c>
      <c r="H1539" s="2" t="s">
        <v>20</v>
      </c>
      <c r="I1539" s="2">
        <f t="shared" si="48"/>
        <v>860.38</v>
      </c>
      <c r="J1539" s="2">
        <f t="shared" si="49"/>
        <v>9.1539525481434207</v>
      </c>
    </row>
    <row r="1540" spans="1:10" x14ac:dyDescent="0.3">
      <c r="A1540" s="1">
        <v>45301</v>
      </c>
      <c r="B1540">
        <v>322.75</v>
      </c>
      <c r="C1540">
        <v>182.76</v>
      </c>
      <c r="D1540">
        <v>7</v>
      </c>
      <c r="E1540" s="2" t="s">
        <v>16</v>
      </c>
      <c r="F1540" s="2" t="s">
        <v>9</v>
      </c>
      <c r="G1540" s="2" t="s">
        <v>10</v>
      </c>
      <c r="H1540" s="2" t="s">
        <v>20</v>
      </c>
      <c r="I1540" s="2">
        <f t="shared" si="48"/>
        <v>139.99</v>
      </c>
      <c r="J1540" s="2">
        <f t="shared" si="49"/>
        <v>0.7659772379076385</v>
      </c>
    </row>
    <row r="1541" spans="1:10" x14ac:dyDescent="0.3">
      <c r="A1541" s="1">
        <v>45324</v>
      </c>
      <c r="B1541">
        <v>223.45</v>
      </c>
      <c r="C1541">
        <v>135.71</v>
      </c>
      <c r="D1541">
        <v>1</v>
      </c>
      <c r="E1541" s="2" t="s">
        <v>13</v>
      </c>
      <c r="F1541" s="2" t="s">
        <v>17</v>
      </c>
      <c r="G1541" s="2" t="s">
        <v>12</v>
      </c>
      <c r="H1541" s="2" t="s">
        <v>18</v>
      </c>
      <c r="I1541" s="2">
        <f t="shared" si="48"/>
        <v>87.739999999999981</v>
      </c>
      <c r="J1541" s="2">
        <f t="shared" si="49"/>
        <v>0.64652567975830799</v>
      </c>
    </row>
    <row r="1542" spans="1:10" x14ac:dyDescent="0.3">
      <c r="A1542" s="1">
        <v>45337</v>
      </c>
      <c r="B1542">
        <v>860.23</v>
      </c>
      <c r="C1542">
        <v>298.12</v>
      </c>
      <c r="D1542">
        <v>6</v>
      </c>
      <c r="E1542" s="2" t="s">
        <v>16</v>
      </c>
      <c r="F1542" s="2" t="s">
        <v>9</v>
      </c>
      <c r="G1542" s="2" t="s">
        <v>12</v>
      </c>
      <c r="H1542" s="2" t="s">
        <v>15</v>
      </c>
      <c r="I1542" s="2">
        <f t="shared" si="48"/>
        <v>562.11</v>
      </c>
      <c r="J1542" s="2">
        <f t="shared" si="49"/>
        <v>1.8855158996377297</v>
      </c>
    </row>
    <row r="1543" spans="1:10" x14ac:dyDescent="0.3">
      <c r="A1543" s="1">
        <v>45332</v>
      </c>
      <c r="B1543">
        <v>1084.3699999999999</v>
      </c>
      <c r="C1543">
        <v>18.88</v>
      </c>
      <c r="D1543">
        <v>1</v>
      </c>
      <c r="E1543" s="2" t="s">
        <v>8</v>
      </c>
      <c r="F1543" s="2" t="s">
        <v>17</v>
      </c>
      <c r="G1543" s="2" t="s">
        <v>12</v>
      </c>
      <c r="H1543" s="2" t="s">
        <v>20</v>
      </c>
      <c r="I1543" s="2">
        <f t="shared" si="48"/>
        <v>1065.4899999999998</v>
      </c>
      <c r="J1543" s="2">
        <f t="shared" si="49"/>
        <v>56.434851694915245</v>
      </c>
    </row>
    <row r="1544" spans="1:10" x14ac:dyDescent="0.3">
      <c r="A1544" s="1">
        <v>45389</v>
      </c>
      <c r="B1544">
        <v>861.86</v>
      </c>
      <c r="C1544">
        <v>349.33</v>
      </c>
      <c r="D1544">
        <v>2</v>
      </c>
      <c r="E1544" s="2" t="s">
        <v>13</v>
      </c>
      <c r="F1544" s="2" t="s">
        <v>9</v>
      </c>
      <c r="G1544" s="2" t="s">
        <v>10</v>
      </c>
      <c r="H1544" s="2" t="s">
        <v>11</v>
      </c>
      <c r="I1544" s="2">
        <f t="shared" si="48"/>
        <v>512.53</v>
      </c>
      <c r="J1544" s="2">
        <f t="shared" si="49"/>
        <v>1.467180030343801</v>
      </c>
    </row>
    <row r="1545" spans="1:10" x14ac:dyDescent="0.3">
      <c r="A1545" s="1">
        <v>45312</v>
      </c>
      <c r="B1545">
        <v>742.58</v>
      </c>
      <c r="C1545">
        <v>195.36</v>
      </c>
      <c r="D1545">
        <v>8</v>
      </c>
      <c r="E1545" s="2" t="s">
        <v>13</v>
      </c>
      <c r="F1545" s="2" t="s">
        <v>17</v>
      </c>
      <c r="G1545" s="2" t="s">
        <v>19</v>
      </c>
      <c r="H1545" s="2" t="s">
        <v>20</v>
      </c>
      <c r="I1545" s="2">
        <f t="shared" si="48"/>
        <v>547.22</v>
      </c>
      <c r="J1545" s="2">
        <f t="shared" si="49"/>
        <v>2.8010851760851758</v>
      </c>
    </row>
    <row r="1546" spans="1:10" x14ac:dyDescent="0.3">
      <c r="A1546" s="1">
        <v>45331</v>
      </c>
      <c r="B1546">
        <v>162.44</v>
      </c>
      <c r="C1546">
        <v>302.49</v>
      </c>
      <c r="D1546">
        <v>7</v>
      </c>
      <c r="E1546" s="2" t="s">
        <v>13</v>
      </c>
      <c r="F1546" s="2" t="s">
        <v>17</v>
      </c>
      <c r="G1546" s="2" t="s">
        <v>14</v>
      </c>
      <c r="H1546" s="2" t="s">
        <v>15</v>
      </c>
      <c r="I1546" s="2">
        <f t="shared" si="48"/>
        <v>-140.05000000000001</v>
      </c>
      <c r="J1546" s="2">
        <f t="shared" si="49"/>
        <v>-0.46299051208304409</v>
      </c>
    </row>
    <row r="1547" spans="1:10" x14ac:dyDescent="0.3">
      <c r="A1547" s="1">
        <v>45343</v>
      </c>
      <c r="B1547">
        <v>398.95</v>
      </c>
      <c r="C1547">
        <v>296.87</v>
      </c>
      <c r="D1547">
        <v>9</v>
      </c>
      <c r="E1547" s="2" t="s">
        <v>16</v>
      </c>
      <c r="F1547" s="2" t="s">
        <v>17</v>
      </c>
      <c r="G1547" s="2" t="s">
        <v>19</v>
      </c>
      <c r="H1547" s="2" t="s">
        <v>15</v>
      </c>
      <c r="I1547" s="2">
        <f t="shared" si="48"/>
        <v>102.07999999999998</v>
      </c>
      <c r="J1547" s="2">
        <f t="shared" si="49"/>
        <v>0.34385421228146995</v>
      </c>
    </row>
    <row r="1548" spans="1:10" x14ac:dyDescent="0.3">
      <c r="A1548" s="1">
        <v>45373</v>
      </c>
      <c r="B1548">
        <v>1370.98</v>
      </c>
      <c r="C1548">
        <v>320.83999999999997</v>
      </c>
      <c r="D1548">
        <v>10</v>
      </c>
      <c r="E1548" s="2" t="s">
        <v>13</v>
      </c>
      <c r="F1548" s="2" t="s">
        <v>17</v>
      </c>
      <c r="G1548" s="2" t="s">
        <v>10</v>
      </c>
      <c r="H1548" s="2" t="s">
        <v>18</v>
      </c>
      <c r="I1548" s="2">
        <f t="shared" si="48"/>
        <v>1050.1400000000001</v>
      </c>
      <c r="J1548" s="2">
        <f t="shared" si="49"/>
        <v>3.2730956239870346</v>
      </c>
    </row>
    <row r="1549" spans="1:10" x14ac:dyDescent="0.3">
      <c r="A1549" s="1">
        <v>45301</v>
      </c>
      <c r="B1549">
        <v>1032.5</v>
      </c>
      <c r="C1549">
        <v>182.34</v>
      </c>
      <c r="D1549">
        <v>0</v>
      </c>
      <c r="E1549" s="2" t="s">
        <v>8</v>
      </c>
      <c r="F1549" s="2" t="s">
        <v>9</v>
      </c>
      <c r="G1549" s="2" t="s">
        <v>10</v>
      </c>
      <c r="H1549" s="2" t="s">
        <v>20</v>
      </c>
      <c r="I1549" s="2">
        <f t="shared" si="48"/>
        <v>850.16</v>
      </c>
      <c r="J1549" s="2">
        <f t="shared" si="49"/>
        <v>4.6624986289349568</v>
      </c>
    </row>
    <row r="1550" spans="1:10" x14ac:dyDescent="0.3">
      <c r="A1550" s="1">
        <v>45326</v>
      </c>
      <c r="B1550">
        <v>1258.8499999999999</v>
      </c>
      <c r="C1550">
        <v>25.53</v>
      </c>
      <c r="D1550">
        <v>7</v>
      </c>
      <c r="E1550" s="2" t="s">
        <v>13</v>
      </c>
      <c r="F1550" s="2" t="s">
        <v>9</v>
      </c>
      <c r="G1550" s="2" t="s">
        <v>12</v>
      </c>
      <c r="H1550" s="2" t="s">
        <v>20</v>
      </c>
      <c r="I1550" s="2">
        <f t="shared" si="48"/>
        <v>1233.32</v>
      </c>
      <c r="J1550" s="2">
        <f t="shared" si="49"/>
        <v>48.308656482569525</v>
      </c>
    </row>
    <row r="1551" spans="1:10" x14ac:dyDescent="0.3">
      <c r="A1551" s="1">
        <v>45299</v>
      </c>
      <c r="B1551">
        <v>1173.57</v>
      </c>
      <c r="C1551">
        <v>246.09</v>
      </c>
      <c r="D1551">
        <v>3</v>
      </c>
      <c r="E1551" s="2" t="s">
        <v>16</v>
      </c>
      <c r="F1551" s="2" t="s">
        <v>17</v>
      </c>
      <c r="G1551" s="2" t="s">
        <v>12</v>
      </c>
      <c r="H1551" s="2" t="s">
        <v>11</v>
      </c>
      <c r="I1551" s="2">
        <f t="shared" si="48"/>
        <v>927.4799999999999</v>
      </c>
      <c r="J1551" s="2">
        <f t="shared" si="49"/>
        <v>3.7688650493721805</v>
      </c>
    </row>
    <row r="1552" spans="1:10" x14ac:dyDescent="0.3">
      <c r="A1552" s="1">
        <v>45314</v>
      </c>
      <c r="B1552">
        <v>1491.87</v>
      </c>
      <c r="C1552">
        <v>183.55</v>
      </c>
      <c r="D1552">
        <v>3</v>
      </c>
      <c r="E1552" s="2" t="s">
        <v>13</v>
      </c>
      <c r="F1552" s="2" t="s">
        <v>17</v>
      </c>
      <c r="G1552" s="2" t="s">
        <v>10</v>
      </c>
      <c r="H1552" s="2" t="s">
        <v>15</v>
      </c>
      <c r="I1552" s="2">
        <f t="shared" si="48"/>
        <v>1308.32</v>
      </c>
      <c r="J1552" s="2">
        <f t="shared" si="49"/>
        <v>7.1278670661944963</v>
      </c>
    </row>
    <row r="1553" spans="1:10" x14ac:dyDescent="0.3">
      <c r="A1553" s="1">
        <v>45345</v>
      </c>
      <c r="B1553">
        <v>510.64</v>
      </c>
      <c r="C1553">
        <v>64.64</v>
      </c>
      <c r="D1553">
        <v>4</v>
      </c>
      <c r="E1553" s="2" t="s">
        <v>13</v>
      </c>
      <c r="F1553" s="2" t="s">
        <v>17</v>
      </c>
      <c r="G1553" s="2" t="s">
        <v>10</v>
      </c>
      <c r="H1553" s="2" t="s">
        <v>18</v>
      </c>
      <c r="I1553" s="2">
        <f t="shared" si="48"/>
        <v>446</v>
      </c>
      <c r="J1553" s="2">
        <f t="shared" si="49"/>
        <v>6.8997524752475243</v>
      </c>
    </row>
    <row r="1554" spans="1:10" x14ac:dyDescent="0.3">
      <c r="A1554" s="1">
        <v>45382</v>
      </c>
      <c r="B1554">
        <v>434.04</v>
      </c>
      <c r="C1554">
        <v>219.62</v>
      </c>
      <c r="D1554">
        <v>10</v>
      </c>
      <c r="E1554" s="2" t="s">
        <v>8</v>
      </c>
      <c r="F1554" s="2" t="s">
        <v>17</v>
      </c>
      <c r="G1554" s="2" t="s">
        <v>19</v>
      </c>
      <c r="H1554" s="2" t="s">
        <v>11</v>
      </c>
      <c r="I1554" s="2">
        <f t="shared" si="48"/>
        <v>214.42000000000002</v>
      </c>
      <c r="J1554" s="2">
        <f t="shared" si="49"/>
        <v>0.97632273927693292</v>
      </c>
    </row>
    <row r="1555" spans="1:10" x14ac:dyDescent="0.3">
      <c r="A1555" s="1">
        <v>45374</v>
      </c>
      <c r="B1555">
        <v>530.83000000000004</v>
      </c>
      <c r="C1555">
        <v>11.09</v>
      </c>
      <c r="D1555">
        <v>2</v>
      </c>
      <c r="E1555" s="2" t="s">
        <v>13</v>
      </c>
      <c r="F1555" s="2" t="s">
        <v>17</v>
      </c>
      <c r="G1555" s="2" t="s">
        <v>19</v>
      </c>
      <c r="H1555" s="2" t="s">
        <v>18</v>
      </c>
      <c r="I1555" s="2">
        <f t="shared" si="48"/>
        <v>519.74</v>
      </c>
      <c r="J1555" s="2">
        <f t="shared" si="49"/>
        <v>46.865644724977457</v>
      </c>
    </row>
    <row r="1556" spans="1:10" x14ac:dyDescent="0.3">
      <c r="A1556" s="1">
        <v>45295</v>
      </c>
      <c r="B1556">
        <v>560.78</v>
      </c>
      <c r="C1556">
        <v>323.72000000000003</v>
      </c>
      <c r="D1556">
        <v>8</v>
      </c>
      <c r="E1556" s="2" t="s">
        <v>16</v>
      </c>
      <c r="F1556" s="2" t="s">
        <v>9</v>
      </c>
      <c r="G1556" s="2" t="s">
        <v>10</v>
      </c>
      <c r="H1556" s="2" t="s">
        <v>20</v>
      </c>
      <c r="I1556" s="2">
        <f t="shared" si="48"/>
        <v>237.05999999999995</v>
      </c>
      <c r="J1556" s="2">
        <f t="shared" si="49"/>
        <v>0.73229951810206328</v>
      </c>
    </row>
    <row r="1557" spans="1:10" x14ac:dyDescent="0.3">
      <c r="A1557" s="1">
        <v>45332</v>
      </c>
      <c r="B1557">
        <v>783.22</v>
      </c>
      <c r="C1557">
        <v>194.45</v>
      </c>
      <c r="D1557">
        <v>1</v>
      </c>
      <c r="E1557" s="2" t="s">
        <v>16</v>
      </c>
      <c r="F1557" s="2" t="s">
        <v>17</v>
      </c>
      <c r="G1557" s="2" t="s">
        <v>10</v>
      </c>
      <c r="H1557" s="2" t="s">
        <v>20</v>
      </c>
      <c r="I1557" s="2">
        <f t="shared" si="48"/>
        <v>588.77</v>
      </c>
      <c r="J1557" s="2">
        <f t="shared" si="49"/>
        <v>3.0278734893288766</v>
      </c>
    </row>
    <row r="1558" spans="1:10" x14ac:dyDescent="0.3">
      <c r="A1558" s="1">
        <v>45373</v>
      </c>
      <c r="B1558">
        <v>214.34</v>
      </c>
      <c r="C1558">
        <v>240.92</v>
      </c>
      <c r="D1558">
        <v>6</v>
      </c>
      <c r="E1558" s="2" t="s">
        <v>13</v>
      </c>
      <c r="F1558" s="2" t="s">
        <v>17</v>
      </c>
      <c r="G1558" s="2" t="s">
        <v>10</v>
      </c>
      <c r="H1558" s="2" t="s">
        <v>11</v>
      </c>
      <c r="I1558" s="2">
        <f t="shared" si="48"/>
        <v>-26.579999999999984</v>
      </c>
      <c r="J1558" s="2">
        <f t="shared" si="49"/>
        <v>-0.11032707952847412</v>
      </c>
    </row>
    <row r="1559" spans="1:10" x14ac:dyDescent="0.3">
      <c r="A1559" s="1">
        <v>45388</v>
      </c>
      <c r="B1559">
        <v>1471.72</v>
      </c>
      <c r="C1559">
        <v>148.69999999999999</v>
      </c>
      <c r="D1559">
        <v>7</v>
      </c>
      <c r="E1559" s="2" t="s">
        <v>8</v>
      </c>
      <c r="F1559" s="2" t="s">
        <v>9</v>
      </c>
      <c r="G1559" s="2" t="s">
        <v>10</v>
      </c>
      <c r="H1559" s="2" t="s">
        <v>11</v>
      </c>
      <c r="I1559" s="2">
        <f t="shared" si="48"/>
        <v>1323.02</v>
      </c>
      <c r="J1559" s="2">
        <f t="shared" si="49"/>
        <v>8.8972427706792203</v>
      </c>
    </row>
    <row r="1560" spans="1:10" x14ac:dyDescent="0.3">
      <c r="A1560" s="1">
        <v>45320</v>
      </c>
      <c r="B1560">
        <v>1444.5</v>
      </c>
      <c r="C1560">
        <v>33.07</v>
      </c>
      <c r="D1560">
        <v>1</v>
      </c>
      <c r="E1560" s="2" t="s">
        <v>13</v>
      </c>
      <c r="F1560" s="2" t="s">
        <v>17</v>
      </c>
      <c r="G1560" s="2" t="s">
        <v>10</v>
      </c>
      <c r="H1560" s="2" t="s">
        <v>18</v>
      </c>
      <c r="I1560" s="2">
        <f t="shared" si="48"/>
        <v>1411.43</v>
      </c>
      <c r="J1560" s="2">
        <f t="shared" si="49"/>
        <v>42.680072573329305</v>
      </c>
    </row>
    <row r="1561" spans="1:10" x14ac:dyDescent="0.3">
      <c r="A1561" s="1">
        <v>45357</v>
      </c>
      <c r="B1561">
        <v>1372.72</v>
      </c>
      <c r="C1561">
        <v>249.49</v>
      </c>
      <c r="D1561">
        <v>5</v>
      </c>
      <c r="E1561" s="2" t="s">
        <v>8</v>
      </c>
      <c r="F1561" s="2" t="s">
        <v>17</v>
      </c>
      <c r="G1561" s="2" t="s">
        <v>12</v>
      </c>
      <c r="H1561" s="2" t="s">
        <v>15</v>
      </c>
      <c r="I1561" s="2">
        <f t="shared" si="48"/>
        <v>1123.23</v>
      </c>
      <c r="J1561" s="2">
        <f t="shared" si="49"/>
        <v>4.5021042927572248</v>
      </c>
    </row>
    <row r="1562" spans="1:10" x14ac:dyDescent="0.3">
      <c r="A1562" s="1">
        <v>45300</v>
      </c>
      <c r="B1562">
        <v>471.29</v>
      </c>
      <c r="C1562">
        <v>289.95</v>
      </c>
      <c r="D1562">
        <v>3</v>
      </c>
      <c r="E1562" s="2" t="s">
        <v>8</v>
      </c>
      <c r="F1562" s="2" t="s">
        <v>9</v>
      </c>
      <c r="G1562" s="2" t="s">
        <v>10</v>
      </c>
      <c r="H1562" s="2" t="s">
        <v>20</v>
      </c>
      <c r="I1562" s="2">
        <f t="shared" si="48"/>
        <v>181.34000000000003</v>
      </c>
      <c r="J1562" s="2">
        <f t="shared" si="49"/>
        <v>0.62541817554750834</v>
      </c>
    </row>
    <row r="1563" spans="1:10" x14ac:dyDescent="0.3">
      <c r="A1563" s="1">
        <v>45331</v>
      </c>
      <c r="B1563">
        <v>304.47000000000003</v>
      </c>
      <c r="C1563">
        <v>481.66</v>
      </c>
      <c r="D1563">
        <v>4</v>
      </c>
      <c r="E1563" s="2" t="s">
        <v>16</v>
      </c>
      <c r="F1563" s="2" t="s">
        <v>17</v>
      </c>
      <c r="G1563" s="2" t="s">
        <v>19</v>
      </c>
      <c r="H1563" s="2" t="s">
        <v>18</v>
      </c>
      <c r="I1563" s="2">
        <f t="shared" si="48"/>
        <v>-177.19</v>
      </c>
      <c r="J1563" s="2">
        <f t="shared" si="49"/>
        <v>-0.36787360378690359</v>
      </c>
    </row>
    <row r="1564" spans="1:10" x14ac:dyDescent="0.3">
      <c r="A1564" s="1">
        <v>45311</v>
      </c>
      <c r="B1564">
        <v>1200.01</v>
      </c>
      <c r="C1564">
        <v>366.14</v>
      </c>
      <c r="D1564">
        <v>4</v>
      </c>
      <c r="E1564" s="2" t="s">
        <v>16</v>
      </c>
      <c r="F1564" s="2" t="s">
        <v>9</v>
      </c>
      <c r="G1564" s="2" t="s">
        <v>14</v>
      </c>
      <c r="H1564" s="2" t="s">
        <v>11</v>
      </c>
      <c r="I1564" s="2">
        <f t="shared" si="48"/>
        <v>833.87</v>
      </c>
      <c r="J1564" s="2">
        <f t="shared" si="49"/>
        <v>2.277462172939313</v>
      </c>
    </row>
    <row r="1565" spans="1:10" x14ac:dyDescent="0.3">
      <c r="A1565" s="1">
        <v>45324</v>
      </c>
      <c r="B1565">
        <v>398.68</v>
      </c>
      <c r="C1565">
        <v>469.88</v>
      </c>
      <c r="D1565">
        <v>4</v>
      </c>
      <c r="E1565" s="2" t="s">
        <v>13</v>
      </c>
      <c r="F1565" s="2" t="s">
        <v>17</v>
      </c>
      <c r="G1565" s="2" t="s">
        <v>14</v>
      </c>
      <c r="H1565" s="2" t="s">
        <v>20</v>
      </c>
      <c r="I1565" s="2">
        <f t="shared" si="48"/>
        <v>-71.199999999999989</v>
      </c>
      <c r="J1565" s="2">
        <f t="shared" si="49"/>
        <v>-0.15152804971482078</v>
      </c>
    </row>
    <row r="1566" spans="1:10" x14ac:dyDescent="0.3">
      <c r="A1566" s="1">
        <v>45365</v>
      </c>
      <c r="B1566">
        <v>1420.91</v>
      </c>
      <c r="C1566">
        <v>148.53</v>
      </c>
      <c r="D1566">
        <v>2</v>
      </c>
      <c r="E1566" s="2" t="s">
        <v>8</v>
      </c>
      <c r="F1566" s="2" t="s">
        <v>17</v>
      </c>
      <c r="G1566" s="2" t="s">
        <v>12</v>
      </c>
      <c r="H1566" s="2" t="s">
        <v>11</v>
      </c>
      <c r="I1566" s="2">
        <f t="shared" si="48"/>
        <v>1272.3800000000001</v>
      </c>
      <c r="J1566" s="2">
        <f t="shared" si="49"/>
        <v>8.5664848852083768</v>
      </c>
    </row>
    <row r="1567" spans="1:10" x14ac:dyDescent="0.3">
      <c r="A1567" s="1">
        <v>45402</v>
      </c>
      <c r="B1567">
        <v>906.66</v>
      </c>
      <c r="C1567">
        <v>233.87</v>
      </c>
      <c r="D1567">
        <v>4</v>
      </c>
      <c r="E1567" s="2" t="s">
        <v>16</v>
      </c>
      <c r="F1567" s="2" t="s">
        <v>9</v>
      </c>
      <c r="G1567" s="2" t="s">
        <v>19</v>
      </c>
      <c r="H1567" s="2" t="s">
        <v>18</v>
      </c>
      <c r="I1567" s="2">
        <f t="shared" si="48"/>
        <v>672.79</v>
      </c>
      <c r="J1567" s="2">
        <f t="shared" si="49"/>
        <v>2.8767691452516355</v>
      </c>
    </row>
    <row r="1568" spans="1:10" x14ac:dyDescent="0.3">
      <c r="A1568" s="1">
        <v>45353</v>
      </c>
      <c r="B1568">
        <v>861.63</v>
      </c>
      <c r="C1568">
        <v>142.91999999999999</v>
      </c>
      <c r="D1568">
        <v>8</v>
      </c>
      <c r="E1568" s="2" t="s">
        <v>13</v>
      </c>
      <c r="F1568" s="2" t="s">
        <v>17</v>
      </c>
      <c r="G1568" s="2" t="s">
        <v>10</v>
      </c>
      <c r="H1568" s="2" t="s">
        <v>15</v>
      </c>
      <c r="I1568" s="2">
        <f t="shared" si="48"/>
        <v>718.71</v>
      </c>
      <c r="J1568" s="2">
        <f t="shared" si="49"/>
        <v>5.0287573467674234</v>
      </c>
    </row>
    <row r="1569" spans="1:10" x14ac:dyDescent="0.3">
      <c r="A1569" s="1">
        <v>45326</v>
      </c>
      <c r="B1569">
        <v>1077.02</v>
      </c>
      <c r="C1569">
        <v>351.51</v>
      </c>
      <c r="D1569">
        <v>5</v>
      </c>
      <c r="E1569" s="2" t="s">
        <v>13</v>
      </c>
      <c r="F1569" s="2" t="s">
        <v>9</v>
      </c>
      <c r="G1569" s="2" t="s">
        <v>14</v>
      </c>
      <c r="H1569" s="2" t="s">
        <v>11</v>
      </c>
      <c r="I1569" s="2">
        <f t="shared" si="48"/>
        <v>725.51</v>
      </c>
      <c r="J1569" s="2">
        <f t="shared" si="49"/>
        <v>2.0639811100679926</v>
      </c>
    </row>
    <row r="1570" spans="1:10" x14ac:dyDescent="0.3">
      <c r="A1570" s="1">
        <v>45307</v>
      </c>
      <c r="B1570">
        <v>815.58</v>
      </c>
      <c r="C1570">
        <v>329.54</v>
      </c>
      <c r="D1570">
        <v>0</v>
      </c>
      <c r="E1570" s="2" t="s">
        <v>13</v>
      </c>
      <c r="F1570" s="2" t="s">
        <v>17</v>
      </c>
      <c r="G1570" s="2" t="s">
        <v>12</v>
      </c>
      <c r="H1570" s="2" t="s">
        <v>15</v>
      </c>
      <c r="I1570" s="2">
        <f t="shared" si="48"/>
        <v>486.04</v>
      </c>
      <c r="J1570" s="2">
        <f t="shared" si="49"/>
        <v>1.4749044122109607</v>
      </c>
    </row>
    <row r="1571" spans="1:10" x14ac:dyDescent="0.3">
      <c r="A1571" s="1">
        <v>45322</v>
      </c>
      <c r="B1571">
        <v>362.51</v>
      </c>
      <c r="C1571">
        <v>233.01</v>
      </c>
      <c r="D1571">
        <v>7</v>
      </c>
      <c r="E1571" s="2" t="s">
        <v>13</v>
      </c>
      <c r="F1571" s="2" t="s">
        <v>9</v>
      </c>
      <c r="G1571" s="2" t="s">
        <v>10</v>
      </c>
      <c r="H1571" s="2" t="s">
        <v>15</v>
      </c>
      <c r="I1571" s="2">
        <f t="shared" si="48"/>
        <v>129.5</v>
      </c>
      <c r="J1571" s="2">
        <f t="shared" si="49"/>
        <v>0.55577013862066005</v>
      </c>
    </row>
    <row r="1572" spans="1:10" x14ac:dyDescent="0.3">
      <c r="A1572" s="1">
        <v>45366</v>
      </c>
      <c r="B1572">
        <v>177.5</v>
      </c>
      <c r="C1572">
        <v>250.35</v>
      </c>
      <c r="D1572">
        <v>8</v>
      </c>
      <c r="E1572" s="2" t="s">
        <v>13</v>
      </c>
      <c r="F1572" s="2" t="s">
        <v>17</v>
      </c>
      <c r="G1572" s="2" t="s">
        <v>12</v>
      </c>
      <c r="H1572" s="2" t="s">
        <v>18</v>
      </c>
      <c r="I1572" s="2">
        <f t="shared" si="48"/>
        <v>-72.849999999999994</v>
      </c>
      <c r="J1572" s="2">
        <f t="shared" si="49"/>
        <v>-0.29099261034551627</v>
      </c>
    </row>
    <row r="1573" spans="1:10" x14ac:dyDescent="0.3">
      <c r="A1573" s="1">
        <v>45396</v>
      </c>
      <c r="B1573">
        <v>1016.48</v>
      </c>
      <c r="C1573">
        <v>299.76</v>
      </c>
      <c r="D1573">
        <v>8</v>
      </c>
      <c r="E1573" s="2" t="s">
        <v>16</v>
      </c>
      <c r="F1573" s="2" t="s">
        <v>9</v>
      </c>
      <c r="G1573" s="2" t="s">
        <v>19</v>
      </c>
      <c r="H1573" s="2" t="s">
        <v>11</v>
      </c>
      <c r="I1573" s="2">
        <f t="shared" si="48"/>
        <v>716.72</v>
      </c>
      <c r="J1573" s="2">
        <f t="shared" si="49"/>
        <v>2.3909794502268484</v>
      </c>
    </row>
    <row r="1574" spans="1:10" x14ac:dyDescent="0.3">
      <c r="A1574" s="1">
        <v>45337</v>
      </c>
      <c r="B1574">
        <v>637.53</v>
      </c>
      <c r="C1574">
        <v>192.99</v>
      </c>
      <c r="D1574">
        <v>6</v>
      </c>
      <c r="E1574" s="2" t="s">
        <v>16</v>
      </c>
      <c r="F1574" s="2" t="s">
        <v>17</v>
      </c>
      <c r="G1574" s="2" t="s">
        <v>10</v>
      </c>
      <c r="H1574" s="2" t="s">
        <v>15</v>
      </c>
      <c r="I1574" s="2">
        <f t="shared" si="48"/>
        <v>444.53999999999996</v>
      </c>
      <c r="J1574" s="2">
        <f t="shared" si="49"/>
        <v>2.3034354111611997</v>
      </c>
    </row>
    <row r="1575" spans="1:10" x14ac:dyDescent="0.3">
      <c r="A1575" s="1">
        <v>45342</v>
      </c>
      <c r="B1575">
        <v>906.63</v>
      </c>
      <c r="C1575">
        <v>412.93</v>
      </c>
      <c r="D1575">
        <v>0</v>
      </c>
      <c r="E1575" s="2" t="s">
        <v>13</v>
      </c>
      <c r="F1575" s="2" t="s">
        <v>17</v>
      </c>
      <c r="G1575" s="2" t="s">
        <v>10</v>
      </c>
      <c r="H1575" s="2" t="s">
        <v>18</v>
      </c>
      <c r="I1575" s="2">
        <f t="shared" si="48"/>
        <v>493.7</v>
      </c>
      <c r="J1575" s="2">
        <f t="shared" si="49"/>
        <v>1.1956021601724263</v>
      </c>
    </row>
    <row r="1576" spans="1:10" x14ac:dyDescent="0.3">
      <c r="A1576" s="1">
        <v>45388</v>
      </c>
      <c r="B1576">
        <v>1463.26</v>
      </c>
      <c r="C1576">
        <v>480.94</v>
      </c>
      <c r="D1576">
        <v>3</v>
      </c>
      <c r="E1576" s="2" t="s">
        <v>13</v>
      </c>
      <c r="F1576" s="2" t="s">
        <v>17</v>
      </c>
      <c r="G1576" s="2" t="s">
        <v>12</v>
      </c>
      <c r="H1576" s="2" t="s">
        <v>11</v>
      </c>
      <c r="I1576" s="2">
        <f t="shared" si="48"/>
        <v>982.31999999999994</v>
      </c>
      <c r="J1576" s="2">
        <f t="shared" si="49"/>
        <v>2.0425001039630724</v>
      </c>
    </row>
    <row r="1577" spans="1:10" x14ac:dyDescent="0.3">
      <c r="A1577" s="1">
        <v>45298</v>
      </c>
      <c r="B1577">
        <v>569.44000000000005</v>
      </c>
      <c r="C1577">
        <v>243.93</v>
      </c>
      <c r="D1577">
        <v>6</v>
      </c>
      <c r="E1577" s="2" t="s">
        <v>13</v>
      </c>
      <c r="F1577" s="2" t="s">
        <v>9</v>
      </c>
      <c r="G1577" s="2" t="s">
        <v>14</v>
      </c>
      <c r="H1577" s="2" t="s">
        <v>20</v>
      </c>
      <c r="I1577" s="2">
        <f t="shared" si="48"/>
        <v>325.51000000000005</v>
      </c>
      <c r="J1577" s="2">
        <f t="shared" si="49"/>
        <v>1.3344402082564673</v>
      </c>
    </row>
    <row r="1578" spans="1:10" x14ac:dyDescent="0.3">
      <c r="A1578" s="1">
        <v>45402</v>
      </c>
      <c r="B1578">
        <v>1259.3900000000001</v>
      </c>
      <c r="C1578">
        <v>216.39</v>
      </c>
      <c r="D1578">
        <v>8</v>
      </c>
      <c r="E1578" s="2" t="s">
        <v>16</v>
      </c>
      <c r="F1578" s="2" t="s">
        <v>17</v>
      </c>
      <c r="G1578" s="2" t="s">
        <v>12</v>
      </c>
      <c r="H1578" s="2" t="s">
        <v>18</v>
      </c>
      <c r="I1578" s="2">
        <f t="shared" si="48"/>
        <v>1043</v>
      </c>
      <c r="J1578" s="2">
        <f t="shared" si="49"/>
        <v>4.8200009242571289</v>
      </c>
    </row>
    <row r="1579" spans="1:10" x14ac:dyDescent="0.3">
      <c r="A1579" s="1">
        <v>45364</v>
      </c>
      <c r="B1579">
        <v>676.26</v>
      </c>
      <c r="C1579">
        <v>399.11</v>
      </c>
      <c r="D1579">
        <v>9</v>
      </c>
      <c r="E1579" s="2" t="s">
        <v>16</v>
      </c>
      <c r="F1579" s="2" t="s">
        <v>9</v>
      </c>
      <c r="G1579" s="2" t="s">
        <v>19</v>
      </c>
      <c r="H1579" s="2" t="s">
        <v>20</v>
      </c>
      <c r="I1579" s="2">
        <f t="shared" si="48"/>
        <v>277.14999999999998</v>
      </c>
      <c r="J1579" s="2">
        <f t="shared" si="49"/>
        <v>0.69442008468843164</v>
      </c>
    </row>
    <row r="1580" spans="1:10" x14ac:dyDescent="0.3">
      <c r="A1580" s="1">
        <v>45302</v>
      </c>
      <c r="B1580">
        <v>539.95000000000005</v>
      </c>
      <c r="C1580">
        <v>272.27999999999997</v>
      </c>
      <c r="D1580">
        <v>10</v>
      </c>
      <c r="E1580" s="2" t="s">
        <v>16</v>
      </c>
      <c r="F1580" s="2" t="s">
        <v>9</v>
      </c>
      <c r="G1580" s="2" t="s">
        <v>12</v>
      </c>
      <c r="H1580" s="2" t="s">
        <v>15</v>
      </c>
      <c r="I1580" s="2">
        <f t="shared" si="48"/>
        <v>267.67000000000007</v>
      </c>
      <c r="J1580" s="2">
        <f t="shared" si="49"/>
        <v>0.98306889966211286</v>
      </c>
    </row>
    <row r="1581" spans="1:10" x14ac:dyDescent="0.3">
      <c r="A1581" s="1">
        <v>45330</v>
      </c>
      <c r="B1581">
        <v>1203.98</v>
      </c>
      <c r="C1581">
        <v>17.350000000000001</v>
      </c>
      <c r="D1581">
        <v>1</v>
      </c>
      <c r="E1581" s="2" t="s">
        <v>13</v>
      </c>
      <c r="F1581" s="2" t="s">
        <v>17</v>
      </c>
      <c r="G1581" s="2" t="s">
        <v>12</v>
      </c>
      <c r="H1581" s="2" t="s">
        <v>18</v>
      </c>
      <c r="I1581" s="2">
        <f t="shared" si="48"/>
        <v>1186.6300000000001</v>
      </c>
      <c r="J1581" s="2">
        <f t="shared" si="49"/>
        <v>68.393659942363115</v>
      </c>
    </row>
    <row r="1582" spans="1:10" x14ac:dyDescent="0.3">
      <c r="A1582" s="1">
        <v>45389</v>
      </c>
      <c r="B1582">
        <v>707.33</v>
      </c>
      <c r="C1582">
        <v>300.16000000000003</v>
      </c>
      <c r="D1582">
        <v>3</v>
      </c>
      <c r="E1582" s="2" t="s">
        <v>16</v>
      </c>
      <c r="F1582" s="2" t="s">
        <v>17</v>
      </c>
      <c r="G1582" s="2" t="s">
        <v>10</v>
      </c>
      <c r="H1582" s="2" t="s">
        <v>11</v>
      </c>
      <c r="I1582" s="2">
        <f t="shared" si="48"/>
        <v>407.17</v>
      </c>
      <c r="J1582" s="2">
        <f t="shared" si="49"/>
        <v>1.3565098614072495</v>
      </c>
    </row>
    <row r="1583" spans="1:10" x14ac:dyDescent="0.3">
      <c r="A1583" s="1">
        <v>45344</v>
      </c>
      <c r="B1583">
        <v>1137.8699999999999</v>
      </c>
      <c r="C1583">
        <v>211.76</v>
      </c>
      <c r="D1583">
        <v>4</v>
      </c>
      <c r="E1583" s="2" t="s">
        <v>8</v>
      </c>
      <c r="F1583" s="2" t="s">
        <v>9</v>
      </c>
      <c r="G1583" s="2" t="s">
        <v>19</v>
      </c>
      <c r="H1583" s="2" t="s">
        <v>18</v>
      </c>
      <c r="I1583" s="2">
        <f t="shared" si="48"/>
        <v>926.1099999999999</v>
      </c>
      <c r="J1583" s="2">
        <f t="shared" si="49"/>
        <v>4.3733944087646393</v>
      </c>
    </row>
    <row r="1584" spans="1:10" x14ac:dyDescent="0.3">
      <c r="A1584" s="1">
        <v>45408</v>
      </c>
      <c r="B1584">
        <v>1122.32</v>
      </c>
      <c r="C1584">
        <v>102.58</v>
      </c>
      <c r="D1584">
        <v>10</v>
      </c>
      <c r="E1584" s="2" t="s">
        <v>8</v>
      </c>
      <c r="F1584" s="2" t="s">
        <v>9</v>
      </c>
      <c r="G1584" s="2" t="s">
        <v>10</v>
      </c>
      <c r="H1584" s="2" t="s">
        <v>18</v>
      </c>
      <c r="I1584" s="2">
        <f t="shared" si="48"/>
        <v>1019.7399999999999</v>
      </c>
      <c r="J1584" s="2">
        <f t="shared" si="49"/>
        <v>9.9409241567557025</v>
      </c>
    </row>
    <row r="1585" spans="1:10" x14ac:dyDescent="0.3">
      <c r="A1585" s="1">
        <v>45391</v>
      </c>
      <c r="B1585">
        <v>1029.75</v>
      </c>
      <c r="C1585">
        <v>464.27</v>
      </c>
      <c r="D1585">
        <v>4</v>
      </c>
      <c r="E1585" s="2" t="s">
        <v>8</v>
      </c>
      <c r="F1585" s="2" t="s">
        <v>17</v>
      </c>
      <c r="G1585" s="2" t="s">
        <v>10</v>
      </c>
      <c r="H1585" s="2" t="s">
        <v>18</v>
      </c>
      <c r="I1585" s="2">
        <f t="shared" si="48"/>
        <v>565.48</v>
      </c>
      <c r="J1585" s="2">
        <f t="shared" si="49"/>
        <v>1.2179981476296122</v>
      </c>
    </row>
    <row r="1586" spans="1:10" x14ac:dyDescent="0.3">
      <c r="A1586" s="1">
        <v>45375</v>
      </c>
      <c r="B1586">
        <v>729.08</v>
      </c>
      <c r="C1586">
        <v>112.18</v>
      </c>
      <c r="D1586">
        <v>10</v>
      </c>
      <c r="E1586" s="2" t="s">
        <v>13</v>
      </c>
      <c r="F1586" s="2" t="s">
        <v>9</v>
      </c>
      <c r="G1586" s="2" t="s">
        <v>19</v>
      </c>
      <c r="H1586" s="2" t="s">
        <v>11</v>
      </c>
      <c r="I1586" s="2">
        <f t="shared" si="48"/>
        <v>616.90000000000009</v>
      </c>
      <c r="J1586" s="2">
        <f t="shared" si="49"/>
        <v>5.4991977179532903</v>
      </c>
    </row>
    <row r="1587" spans="1:10" x14ac:dyDescent="0.3">
      <c r="A1587" s="1">
        <v>45306</v>
      </c>
      <c r="B1587">
        <v>73</v>
      </c>
      <c r="C1587">
        <v>134.91999999999999</v>
      </c>
      <c r="D1587">
        <v>2</v>
      </c>
      <c r="E1587" s="2" t="s">
        <v>16</v>
      </c>
      <c r="F1587" s="2" t="s">
        <v>9</v>
      </c>
      <c r="G1587" s="2" t="s">
        <v>14</v>
      </c>
      <c r="H1587" s="2" t="s">
        <v>11</v>
      </c>
      <c r="I1587" s="2">
        <f t="shared" si="48"/>
        <v>-61.919999999999987</v>
      </c>
      <c r="J1587" s="2">
        <f t="shared" si="49"/>
        <v>-0.45893863029943666</v>
      </c>
    </row>
    <row r="1588" spans="1:10" x14ac:dyDescent="0.3">
      <c r="A1588" s="1">
        <v>45328</v>
      </c>
      <c r="B1588">
        <v>942.02</v>
      </c>
      <c r="C1588">
        <v>290.05</v>
      </c>
      <c r="D1588">
        <v>2</v>
      </c>
      <c r="E1588" s="2" t="s">
        <v>8</v>
      </c>
      <c r="F1588" s="2" t="s">
        <v>17</v>
      </c>
      <c r="G1588" s="2" t="s">
        <v>14</v>
      </c>
      <c r="H1588" s="2" t="s">
        <v>11</v>
      </c>
      <c r="I1588" s="2">
        <f t="shared" si="48"/>
        <v>651.97</v>
      </c>
      <c r="J1588" s="2">
        <f t="shared" si="49"/>
        <v>2.2477848646785037</v>
      </c>
    </row>
    <row r="1589" spans="1:10" x14ac:dyDescent="0.3">
      <c r="A1589" s="1">
        <v>45293</v>
      </c>
      <c r="B1589">
        <v>1341.22</v>
      </c>
      <c r="C1589">
        <v>143.38</v>
      </c>
      <c r="D1589">
        <v>0</v>
      </c>
      <c r="E1589" s="2" t="s">
        <v>8</v>
      </c>
      <c r="F1589" s="2" t="s">
        <v>17</v>
      </c>
      <c r="G1589" s="2" t="s">
        <v>14</v>
      </c>
      <c r="H1589" s="2" t="s">
        <v>15</v>
      </c>
      <c r="I1589" s="2">
        <f t="shared" si="48"/>
        <v>1197.8400000000001</v>
      </c>
      <c r="J1589" s="2">
        <f t="shared" si="49"/>
        <v>8.3543032501046177</v>
      </c>
    </row>
    <row r="1590" spans="1:10" x14ac:dyDescent="0.3">
      <c r="A1590" s="1">
        <v>45293</v>
      </c>
      <c r="B1590">
        <v>979.43</v>
      </c>
      <c r="C1590">
        <v>152.69</v>
      </c>
      <c r="D1590">
        <v>0</v>
      </c>
      <c r="E1590" s="2" t="s">
        <v>13</v>
      </c>
      <c r="F1590" s="2" t="s">
        <v>17</v>
      </c>
      <c r="G1590" s="2" t="s">
        <v>14</v>
      </c>
      <c r="H1590" s="2" t="s">
        <v>20</v>
      </c>
      <c r="I1590" s="2">
        <f t="shared" si="48"/>
        <v>826.74</v>
      </c>
      <c r="J1590" s="2">
        <f t="shared" si="49"/>
        <v>5.4144999672539136</v>
      </c>
    </row>
    <row r="1591" spans="1:10" x14ac:dyDescent="0.3">
      <c r="A1591" s="1">
        <v>45339</v>
      </c>
      <c r="B1591">
        <v>1389.22</v>
      </c>
      <c r="C1591">
        <v>204.75</v>
      </c>
      <c r="D1591">
        <v>3</v>
      </c>
      <c r="E1591" s="2" t="s">
        <v>16</v>
      </c>
      <c r="F1591" s="2" t="s">
        <v>17</v>
      </c>
      <c r="G1591" s="2" t="s">
        <v>19</v>
      </c>
      <c r="H1591" s="2" t="s">
        <v>11</v>
      </c>
      <c r="I1591" s="2">
        <f t="shared" si="48"/>
        <v>1184.47</v>
      </c>
      <c r="J1591" s="2">
        <f t="shared" si="49"/>
        <v>5.7849572649572654</v>
      </c>
    </row>
    <row r="1592" spans="1:10" x14ac:dyDescent="0.3">
      <c r="A1592" s="1">
        <v>45392</v>
      </c>
      <c r="B1592">
        <v>790.56</v>
      </c>
      <c r="C1592">
        <v>475.96</v>
      </c>
      <c r="D1592">
        <v>3</v>
      </c>
      <c r="E1592" s="2" t="s">
        <v>16</v>
      </c>
      <c r="F1592" s="2" t="s">
        <v>9</v>
      </c>
      <c r="G1592" s="2" t="s">
        <v>10</v>
      </c>
      <c r="H1592" s="2" t="s">
        <v>20</v>
      </c>
      <c r="I1592" s="2">
        <f t="shared" si="48"/>
        <v>314.59999999999997</v>
      </c>
      <c r="J1592" s="2">
        <f t="shared" si="49"/>
        <v>0.66097991427851077</v>
      </c>
    </row>
    <row r="1593" spans="1:10" x14ac:dyDescent="0.3">
      <c r="A1593" s="1">
        <v>45349</v>
      </c>
      <c r="B1593">
        <v>185.7</v>
      </c>
      <c r="C1593">
        <v>471.6</v>
      </c>
      <c r="D1593">
        <v>1</v>
      </c>
      <c r="E1593" s="2" t="s">
        <v>13</v>
      </c>
      <c r="F1593" s="2" t="s">
        <v>9</v>
      </c>
      <c r="G1593" s="2" t="s">
        <v>10</v>
      </c>
      <c r="H1593" s="2" t="s">
        <v>20</v>
      </c>
      <c r="I1593" s="2">
        <f t="shared" si="48"/>
        <v>-285.90000000000003</v>
      </c>
      <c r="J1593" s="2">
        <f t="shared" si="49"/>
        <v>-0.60623409669211203</v>
      </c>
    </row>
    <row r="1594" spans="1:10" x14ac:dyDescent="0.3">
      <c r="A1594" s="1">
        <v>45327</v>
      </c>
      <c r="B1594">
        <v>527.11</v>
      </c>
      <c r="C1594">
        <v>271.39</v>
      </c>
      <c r="D1594">
        <v>2</v>
      </c>
      <c r="E1594" s="2" t="s">
        <v>8</v>
      </c>
      <c r="F1594" s="2" t="s">
        <v>17</v>
      </c>
      <c r="G1594" s="2" t="s">
        <v>10</v>
      </c>
      <c r="H1594" s="2" t="s">
        <v>15</v>
      </c>
      <c r="I1594" s="2">
        <f t="shared" si="48"/>
        <v>255.72000000000003</v>
      </c>
      <c r="J1594" s="2">
        <f t="shared" si="49"/>
        <v>0.94226021592542109</v>
      </c>
    </row>
    <row r="1595" spans="1:10" x14ac:dyDescent="0.3">
      <c r="A1595" s="1">
        <v>45381</v>
      </c>
      <c r="B1595">
        <v>238.02</v>
      </c>
      <c r="C1595">
        <v>258.26</v>
      </c>
      <c r="D1595">
        <v>8</v>
      </c>
      <c r="E1595" s="2" t="s">
        <v>8</v>
      </c>
      <c r="F1595" s="2" t="s">
        <v>9</v>
      </c>
      <c r="G1595" s="2" t="s">
        <v>14</v>
      </c>
      <c r="H1595" s="2" t="s">
        <v>11</v>
      </c>
      <c r="I1595" s="2">
        <f t="shared" si="48"/>
        <v>-20.239999999999981</v>
      </c>
      <c r="J1595" s="2">
        <f t="shared" si="49"/>
        <v>-7.8370634244559673E-2</v>
      </c>
    </row>
    <row r="1596" spans="1:10" x14ac:dyDescent="0.3">
      <c r="A1596" s="1">
        <v>45405</v>
      </c>
      <c r="B1596">
        <v>1308.8699999999999</v>
      </c>
      <c r="C1596">
        <v>362.11</v>
      </c>
      <c r="D1596">
        <v>9</v>
      </c>
      <c r="E1596" s="2" t="s">
        <v>8</v>
      </c>
      <c r="F1596" s="2" t="s">
        <v>17</v>
      </c>
      <c r="G1596" s="2" t="s">
        <v>14</v>
      </c>
      <c r="H1596" s="2" t="s">
        <v>20</v>
      </c>
      <c r="I1596" s="2">
        <f t="shared" si="48"/>
        <v>946.75999999999988</v>
      </c>
      <c r="J1596" s="2">
        <f t="shared" si="49"/>
        <v>2.6145646350556455</v>
      </c>
    </row>
    <row r="1597" spans="1:10" x14ac:dyDescent="0.3">
      <c r="A1597" s="1">
        <v>45385</v>
      </c>
      <c r="B1597">
        <v>803.62</v>
      </c>
      <c r="C1597">
        <v>21.21</v>
      </c>
      <c r="D1597">
        <v>2</v>
      </c>
      <c r="E1597" s="2" t="s">
        <v>16</v>
      </c>
      <c r="F1597" s="2" t="s">
        <v>9</v>
      </c>
      <c r="G1597" s="2" t="s">
        <v>19</v>
      </c>
      <c r="H1597" s="2" t="s">
        <v>11</v>
      </c>
      <c r="I1597" s="2">
        <f t="shared" si="48"/>
        <v>782.41</v>
      </c>
      <c r="J1597" s="2">
        <f t="shared" si="49"/>
        <v>36.888731730315882</v>
      </c>
    </row>
    <row r="1598" spans="1:10" x14ac:dyDescent="0.3">
      <c r="A1598" s="1">
        <v>45324</v>
      </c>
      <c r="B1598">
        <v>1094.5899999999999</v>
      </c>
      <c r="C1598">
        <v>60.2</v>
      </c>
      <c r="D1598">
        <v>0</v>
      </c>
      <c r="E1598" s="2" t="s">
        <v>8</v>
      </c>
      <c r="F1598" s="2" t="s">
        <v>17</v>
      </c>
      <c r="G1598" s="2" t="s">
        <v>14</v>
      </c>
      <c r="H1598" s="2" t="s">
        <v>11</v>
      </c>
      <c r="I1598" s="2">
        <f t="shared" si="48"/>
        <v>1034.3899999999999</v>
      </c>
      <c r="J1598" s="2">
        <f t="shared" si="49"/>
        <v>17.18255813953488</v>
      </c>
    </row>
    <row r="1599" spans="1:10" x14ac:dyDescent="0.3">
      <c r="A1599" s="1">
        <v>45302</v>
      </c>
      <c r="B1599">
        <v>378.34</v>
      </c>
      <c r="C1599">
        <v>456.61</v>
      </c>
      <c r="D1599">
        <v>9</v>
      </c>
      <c r="E1599" s="2" t="s">
        <v>8</v>
      </c>
      <c r="F1599" s="2" t="s">
        <v>9</v>
      </c>
      <c r="G1599" s="2" t="s">
        <v>10</v>
      </c>
      <c r="H1599" s="2" t="s">
        <v>18</v>
      </c>
      <c r="I1599" s="2">
        <f t="shared" si="48"/>
        <v>-78.270000000000039</v>
      </c>
      <c r="J1599" s="2">
        <f t="shared" si="49"/>
        <v>-0.17141543111188987</v>
      </c>
    </row>
    <row r="1600" spans="1:10" x14ac:dyDescent="0.3">
      <c r="A1600" s="1">
        <v>45329</v>
      </c>
      <c r="B1600">
        <v>543.30999999999995</v>
      </c>
      <c r="C1600">
        <v>309.86</v>
      </c>
      <c r="D1600">
        <v>1</v>
      </c>
      <c r="E1600" s="2" t="s">
        <v>8</v>
      </c>
      <c r="F1600" s="2" t="s">
        <v>9</v>
      </c>
      <c r="G1600" s="2" t="s">
        <v>10</v>
      </c>
      <c r="H1600" s="2" t="s">
        <v>11</v>
      </c>
      <c r="I1600" s="2">
        <f t="shared" si="48"/>
        <v>233.44999999999993</v>
      </c>
      <c r="J1600" s="2">
        <f t="shared" si="49"/>
        <v>0.75340476344155405</v>
      </c>
    </row>
    <row r="1601" spans="1:10" x14ac:dyDescent="0.3">
      <c r="A1601" s="1">
        <v>45407</v>
      </c>
      <c r="B1601">
        <v>1451.64</v>
      </c>
      <c r="C1601">
        <v>130.52000000000001</v>
      </c>
      <c r="D1601">
        <v>9</v>
      </c>
      <c r="E1601" s="2" t="s">
        <v>8</v>
      </c>
      <c r="F1601" s="2" t="s">
        <v>17</v>
      </c>
      <c r="G1601" s="2" t="s">
        <v>19</v>
      </c>
      <c r="H1601" s="2" t="s">
        <v>15</v>
      </c>
      <c r="I1601" s="2">
        <f t="shared" si="48"/>
        <v>1321.1200000000001</v>
      </c>
      <c r="J1601" s="2">
        <f t="shared" si="49"/>
        <v>10.121973643885994</v>
      </c>
    </row>
    <row r="1602" spans="1:10" x14ac:dyDescent="0.3">
      <c r="A1602" s="1">
        <v>45361</v>
      </c>
      <c r="B1602">
        <v>916.2</v>
      </c>
      <c r="C1602">
        <v>70.319999999999993</v>
      </c>
      <c r="D1602">
        <v>2</v>
      </c>
      <c r="E1602" s="2" t="s">
        <v>13</v>
      </c>
      <c r="F1602" s="2" t="s">
        <v>17</v>
      </c>
      <c r="G1602" s="2" t="s">
        <v>12</v>
      </c>
      <c r="H1602" s="2" t="s">
        <v>18</v>
      </c>
      <c r="I1602" s="2">
        <f t="shared" ref="I1602:I1665" si="50">B1602-C1602</f>
        <v>845.88000000000011</v>
      </c>
      <c r="J1602" s="2">
        <f t="shared" ref="J1602:J1665" si="51">IF(C1602=0,0,I1602/C1602)</f>
        <v>12.029010238907853</v>
      </c>
    </row>
    <row r="1603" spans="1:10" x14ac:dyDescent="0.3">
      <c r="A1603" s="1">
        <v>45317</v>
      </c>
      <c r="B1603">
        <v>539.42999999999995</v>
      </c>
      <c r="C1603">
        <v>387.37</v>
      </c>
      <c r="D1603">
        <v>1</v>
      </c>
      <c r="E1603" s="2" t="s">
        <v>8</v>
      </c>
      <c r="F1603" s="2" t="s">
        <v>17</v>
      </c>
      <c r="G1603" s="2" t="s">
        <v>12</v>
      </c>
      <c r="H1603" s="2" t="s">
        <v>11</v>
      </c>
      <c r="I1603" s="2">
        <f t="shared" si="50"/>
        <v>152.05999999999995</v>
      </c>
      <c r="J1603" s="2">
        <f t="shared" si="51"/>
        <v>0.39254459560626775</v>
      </c>
    </row>
    <row r="1604" spans="1:10" x14ac:dyDescent="0.3">
      <c r="A1604" s="1">
        <v>45294</v>
      </c>
      <c r="B1604">
        <v>1278.8599999999999</v>
      </c>
      <c r="C1604">
        <v>266.47000000000003</v>
      </c>
      <c r="D1604">
        <v>8</v>
      </c>
      <c r="E1604" s="2" t="s">
        <v>8</v>
      </c>
      <c r="F1604" s="2" t="s">
        <v>9</v>
      </c>
      <c r="G1604" s="2" t="s">
        <v>10</v>
      </c>
      <c r="H1604" s="2" t="s">
        <v>15</v>
      </c>
      <c r="I1604" s="2">
        <f t="shared" si="50"/>
        <v>1012.3899999999999</v>
      </c>
      <c r="J1604" s="2">
        <f t="shared" si="51"/>
        <v>3.7992644575374328</v>
      </c>
    </row>
    <row r="1605" spans="1:10" x14ac:dyDescent="0.3">
      <c r="A1605" s="1">
        <v>45392</v>
      </c>
      <c r="B1605">
        <v>867.58</v>
      </c>
      <c r="C1605">
        <v>403.27</v>
      </c>
      <c r="D1605">
        <v>0</v>
      </c>
      <c r="E1605" s="2" t="s">
        <v>16</v>
      </c>
      <c r="F1605" s="2" t="s">
        <v>9</v>
      </c>
      <c r="G1605" s="2" t="s">
        <v>10</v>
      </c>
      <c r="H1605" s="2" t="s">
        <v>20</v>
      </c>
      <c r="I1605" s="2">
        <f t="shared" si="50"/>
        <v>464.31000000000006</v>
      </c>
      <c r="J1605" s="2">
        <f t="shared" si="51"/>
        <v>1.151362610657872</v>
      </c>
    </row>
    <row r="1606" spans="1:10" x14ac:dyDescent="0.3">
      <c r="A1606" s="1">
        <v>45306</v>
      </c>
      <c r="B1606">
        <v>588.42999999999995</v>
      </c>
      <c r="C1606">
        <v>99.05</v>
      </c>
      <c r="D1606">
        <v>7</v>
      </c>
      <c r="E1606" s="2" t="s">
        <v>16</v>
      </c>
      <c r="F1606" s="2" t="s">
        <v>9</v>
      </c>
      <c r="G1606" s="2" t="s">
        <v>19</v>
      </c>
      <c r="H1606" s="2" t="s">
        <v>20</v>
      </c>
      <c r="I1606" s="2">
        <f t="shared" si="50"/>
        <v>489.37999999999994</v>
      </c>
      <c r="J1606" s="2">
        <f t="shared" si="51"/>
        <v>4.9407370015143863</v>
      </c>
    </row>
    <row r="1607" spans="1:10" x14ac:dyDescent="0.3">
      <c r="A1607" s="1">
        <v>45407</v>
      </c>
      <c r="B1607">
        <v>76.319999999999993</v>
      </c>
      <c r="C1607">
        <v>392.28</v>
      </c>
      <c r="D1607">
        <v>0</v>
      </c>
      <c r="E1607" s="2" t="s">
        <v>16</v>
      </c>
      <c r="F1607" s="2" t="s">
        <v>9</v>
      </c>
      <c r="G1607" s="2" t="s">
        <v>12</v>
      </c>
      <c r="H1607" s="2" t="s">
        <v>20</v>
      </c>
      <c r="I1607" s="2">
        <f t="shared" si="50"/>
        <v>-315.95999999999998</v>
      </c>
      <c r="J1607" s="2">
        <f t="shared" si="51"/>
        <v>-0.80544509024166411</v>
      </c>
    </row>
    <row r="1608" spans="1:10" x14ac:dyDescent="0.3">
      <c r="A1608" s="1">
        <v>45334</v>
      </c>
      <c r="B1608">
        <v>1480.17</v>
      </c>
      <c r="C1608">
        <v>480.22</v>
      </c>
      <c r="D1608">
        <v>9</v>
      </c>
      <c r="E1608" s="2" t="s">
        <v>13</v>
      </c>
      <c r="F1608" s="2" t="s">
        <v>17</v>
      </c>
      <c r="G1608" s="2" t="s">
        <v>19</v>
      </c>
      <c r="H1608" s="2" t="s">
        <v>18</v>
      </c>
      <c r="I1608" s="2">
        <f t="shared" si="50"/>
        <v>999.95</v>
      </c>
      <c r="J1608" s="2">
        <f t="shared" si="51"/>
        <v>2.0822747907209194</v>
      </c>
    </row>
    <row r="1609" spans="1:10" x14ac:dyDescent="0.3">
      <c r="A1609" s="1">
        <v>45332</v>
      </c>
      <c r="B1609">
        <v>873.95</v>
      </c>
      <c r="C1609">
        <v>205.99</v>
      </c>
      <c r="D1609">
        <v>3</v>
      </c>
      <c r="E1609" s="2" t="s">
        <v>13</v>
      </c>
      <c r="F1609" s="2" t="s">
        <v>17</v>
      </c>
      <c r="G1609" s="2" t="s">
        <v>19</v>
      </c>
      <c r="H1609" s="2" t="s">
        <v>20</v>
      </c>
      <c r="I1609" s="2">
        <f t="shared" si="50"/>
        <v>667.96</v>
      </c>
      <c r="J1609" s="2">
        <f t="shared" si="51"/>
        <v>3.2426816835768726</v>
      </c>
    </row>
    <row r="1610" spans="1:10" x14ac:dyDescent="0.3">
      <c r="A1610" s="1">
        <v>45367</v>
      </c>
      <c r="B1610">
        <v>686.42</v>
      </c>
      <c r="C1610">
        <v>207.18</v>
      </c>
      <c r="D1610">
        <v>10</v>
      </c>
      <c r="E1610" s="2" t="s">
        <v>16</v>
      </c>
      <c r="F1610" s="2" t="s">
        <v>17</v>
      </c>
      <c r="G1610" s="2" t="s">
        <v>19</v>
      </c>
      <c r="H1610" s="2" t="s">
        <v>15</v>
      </c>
      <c r="I1610" s="2">
        <f t="shared" si="50"/>
        <v>479.23999999999995</v>
      </c>
      <c r="J1610" s="2">
        <f t="shared" si="51"/>
        <v>2.3131576406989089</v>
      </c>
    </row>
    <row r="1611" spans="1:10" x14ac:dyDescent="0.3">
      <c r="A1611" s="1">
        <v>45398</v>
      </c>
      <c r="B1611">
        <v>884.09</v>
      </c>
      <c r="C1611">
        <v>178.79</v>
      </c>
      <c r="D1611">
        <v>8</v>
      </c>
      <c r="E1611" s="2" t="s">
        <v>8</v>
      </c>
      <c r="F1611" s="2" t="s">
        <v>9</v>
      </c>
      <c r="G1611" s="2" t="s">
        <v>12</v>
      </c>
      <c r="H1611" s="2" t="s">
        <v>15</v>
      </c>
      <c r="I1611" s="2">
        <f t="shared" si="50"/>
        <v>705.30000000000007</v>
      </c>
      <c r="J1611" s="2">
        <f t="shared" si="51"/>
        <v>3.944851501761844</v>
      </c>
    </row>
    <row r="1612" spans="1:10" x14ac:dyDescent="0.3">
      <c r="A1612" s="1">
        <v>45349</v>
      </c>
      <c r="B1612">
        <v>528.48</v>
      </c>
      <c r="C1612">
        <v>90.79</v>
      </c>
      <c r="D1612">
        <v>9</v>
      </c>
      <c r="E1612" s="2" t="s">
        <v>8</v>
      </c>
      <c r="F1612" s="2" t="s">
        <v>9</v>
      </c>
      <c r="G1612" s="2" t="s">
        <v>14</v>
      </c>
      <c r="H1612" s="2" t="s">
        <v>18</v>
      </c>
      <c r="I1612" s="2">
        <f t="shared" si="50"/>
        <v>437.69</v>
      </c>
      <c r="J1612" s="2">
        <f t="shared" si="51"/>
        <v>4.8209053860557329</v>
      </c>
    </row>
    <row r="1613" spans="1:10" x14ac:dyDescent="0.3">
      <c r="A1613" s="1">
        <v>45322</v>
      </c>
      <c r="B1613">
        <v>605.49</v>
      </c>
      <c r="C1613">
        <v>209.19</v>
      </c>
      <c r="D1613">
        <v>4</v>
      </c>
      <c r="E1613" s="2" t="s">
        <v>13</v>
      </c>
      <c r="F1613" s="2" t="s">
        <v>9</v>
      </c>
      <c r="G1613" s="2" t="s">
        <v>10</v>
      </c>
      <c r="H1613" s="2" t="s">
        <v>15</v>
      </c>
      <c r="I1613" s="2">
        <f t="shared" si="50"/>
        <v>396.3</v>
      </c>
      <c r="J1613" s="2">
        <f t="shared" si="51"/>
        <v>1.8944500215115445</v>
      </c>
    </row>
    <row r="1614" spans="1:10" x14ac:dyDescent="0.3">
      <c r="A1614" s="1">
        <v>45399</v>
      </c>
      <c r="B1614">
        <v>674.15</v>
      </c>
      <c r="C1614">
        <v>45.51</v>
      </c>
      <c r="D1614">
        <v>5</v>
      </c>
      <c r="E1614" s="2" t="s">
        <v>16</v>
      </c>
      <c r="F1614" s="2" t="s">
        <v>9</v>
      </c>
      <c r="G1614" s="2" t="s">
        <v>10</v>
      </c>
      <c r="H1614" s="2" t="s">
        <v>11</v>
      </c>
      <c r="I1614" s="2">
        <f t="shared" si="50"/>
        <v>628.64</v>
      </c>
      <c r="J1614" s="2">
        <f t="shared" si="51"/>
        <v>13.81322786200835</v>
      </c>
    </row>
    <row r="1615" spans="1:10" x14ac:dyDescent="0.3">
      <c r="A1615" s="1">
        <v>45361</v>
      </c>
      <c r="B1615">
        <v>295</v>
      </c>
      <c r="C1615">
        <v>382.28</v>
      </c>
      <c r="D1615">
        <v>1</v>
      </c>
      <c r="E1615" s="2" t="s">
        <v>13</v>
      </c>
      <c r="F1615" s="2" t="s">
        <v>17</v>
      </c>
      <c r="G1615" s="2" t="s">
        <v>14</v>
      </c>
      <c r="H1615" s="2" t="s">
        <v>18</v>
      </c>
      <c r="I1615" s="2">
        <f t="shared" si="50"/>
        <v>-87.279999999999973</v>
      </c>
      <c r="J1615" s="2">
        <f t="shared" si="51"/>
        <v>-0.22831432457884268</v>
      </c>
    </row>
    <row r="1616" spans="1:10" x14ac:dyDescent="0.3">
      <c r="A1616" s="1">
        <v>45352</v>
      </c>
      <c r="B1616">
        <v>1235.28</v>
      </c>
      <c r="C1616">
        <v>182.8</v>
      </c>
      <c r="D1616">
        <v>9</v>
      </c>
      <c r="E1616" s="2" t="s">
        <v>16</v>
      </c>
      <c r="F1616" s="2" t="s">
        <v>9</v>
      </c>
      <c r="G1616" s="2" t="s">
        <v>10</v>
      </c>
      <c r="H1616" s="2" t="s">
        <v>18</v>
      </c>
      <c r="I1616" s="2">
        <f t="shared" si="50"/>
        <v>1052.48</v>
      </c>
      <c r="J1616" s="2">
        <f t="shared" si="51"/>
        <v>5.7575492341356673</v>
      </c>
    </row>
    <row r="1617" spans="1:10" x14ac:dyDescent="0.3">
      <c r="A1617" s="1">
        <v>45353</v>
      </c>
      <c r="B1617">
        <v>973.21</v>
      </c>
      <c r="C1617">
        <v>380.37</v>
      </c>
      <c r="D1617">
        <v>1</v>
      </c>
      <c r="E1617" s="2" t="s">
        <v>13</v>
      </c>
      <c r="F1617" s="2" t="s">
        <v>9</v>
      </c>
      <c r="G1617" s="2" t="s">
        <v>19</v>
      </c>
      <c r="H1617" s="2" t="s">
        <v>15</v>
      </c>
      <c r="I1617" s="2">
        <f t="shared" si="50"/>
        <v>592.84</v>
      </c>
      <c r="J1617" s="2">
        <f t="shared" si="51"/>
        <v>1.5585876909325131</v>
      </c>
    </row>
    <row r="1618" spans="1:10" x14ac:dyDescent="0.3">
      <c r="A1618" s="1">
        <v>45397</v>
      </c>
      <c r="B1618">
        <v>1062.07</v>
      </c>
      <c r="C1618">
        <v>99</v>
      </c>
      <c r="D1618">
        <v>5</v>
      </c>
      <c r="E1618" s="2" t="s">
        <v>13</v>
      </c>
      <c r="F1618" s="2" t="s">
        <v>9</v>
      </c>
      <c r="G1618" s="2" t="s">
        <v>19</v>
      </c>
      <c r="H1618" s="2" t="s">
        <v>11</v>
      </c>
      <c r="I1618" s="2">
        <f t="shared" si="50"/>
        <v>963.06999999999994</v>
      </c>
      <c r="J1618" s="2">
        <f t="shared" si="51"/>
        <v>9.7279797979797973</v>
      </c>
    </row>
    <row r="1619" spans="1:10" x14ac:dyDescent="0.3">
      <c r="A1619" s="1">
        <v>45318</v>
      </c>
      <c r="B1619">
        <v>864.83</v>
      </c>
      <c r="C1619">
        <v>115.74</v>
      </c>
      <c r="D1619">
        <v>6</v>
      </c>
      <c r="E1619" s="2" t="s">
        <v>16</v>
      </c>
      <c r="F1619" s="2" t="s">
        <v>9</v>
      </c>
      <c r="G1619" s="2" t="s">
        <v>10</v>
      </c>
      <c r="H1619" s="2" t="s">
        <v>18</v>
      </c>
      <c r="I1619" s="2">
        <f t="shared" si="50"/>
        <v>749.09</v>
      </c>
      <c r="J1619" s="2">
        <f t="shared" si="51"/>
        <v>6.4721790219457409</v>
      </c>
    </row>
    <row r="1620" spans="1:10" x14ac:dyDescent="0.3">
      <c r="A1620" s="1">
        <v>45399</v>
      </c>
      <c r="B1620">
        <v>185.22</v>
      </c>
      <c r="C1620">
        <v>365.65</v>
      </c>
      <c r="D1620">
        <v>5</v>
      </c>
      <c r="E1620" s="2" t="s">
        <v>16</v>
      </c>
      <c r="F1620" s="2" t="s">
        <v>9</v>
      </c>
      <c r="G1620" s="2" t="s">
        <v>14</v>
      </c>
      <c r="H1620" s="2" t="s">
        <v>18</v>
      </c>
      <c r="I1620" s="2">
        <f t="shared" si="50"/>
        <v>-180.42999999999998</v>
      </c>
      <c r="J1620" s="2">
        <f t="shared" si="51"/>
        <v>-0.49345002051141801</v>
      </c>
    </row>
    <row r="1621" spans="1:10" x14ac:dyDescent="0.3">
      <c r="A1621" s="1">
        <v>45388</v>
      </c>
      <c r="B1621">
        <v>499.3</v>
      </c>
      <c r="C1621">
        <v>178.06</v>
      </c>
      <c r="D1621">
        <v>3</v>
      </c>
      <c r="E1621" s="2" t="s">
        <v>13</v>
      </c>
      <c r="F1621" s="2" t="s">
        <v>9</v>
      </c>
      <c r="G1621" s="2" t="s">
        <v>12</v>
      </c>
      <c r="H1621" s="2" t="s">
        <v>15</v>
      </c>
      <c r="I1621" s="2">
        <f t="shared" si="50"/>
        <v>321.24</v>
      </c>
      <c r="J1621" s="2">
        <f t="shared" si="51"/>
        <v>1.8041109738290464</v>
      </c>
    </row>
    <row r="1622" spans="1:10" x14ac:dyDescent="0.3">
      <c r="A1622" s="1">
        <v>45353</v>
      </c>
      <c r="B1622">
        <v>1021.57</v>
      </c>
      <c r="C1622">
        <v>398.59</v>
      </c>
      <c r="D1622">
        <v>10</v>
      </c>
      <c r="E1622" s="2" t="s">
        <v>13</v>
      </c>
      <c r="F1622" s="2" t="s">
        <v>9</v>
      </c>
      <c r="G1622" s="2" t="s">
        <v>19</v>
      </c>
      <c r="H1622" s="2" t="s">
        <v>11</v>
      </c>
      <c r="I1622" s="2">
        <f t="shared" si="50"/>
        <v>622.98</v>
      </c>
      <c r="J1622" s="2">
        <f t="shared" si="51"/>
        <v>1.5629594319977924</v>
      </c>
    </row>
    <row r="1623" spans="1:10" x14ac:dyDescent="0.3">
      <c r="A1623" s="1">
        <v>45384</v>
      </c>
      <c r="B1623">
        <v>595.97</v>
      </c>
      <c r="C1623">
        <v>305.89</v>
      </c>
      <c r="D1623">
        <v>5</v>
      </c>
      <c r="E1623" s="2" t="s">
        <v>16</v>
      </c>
      <c r="F1623" s="2" t="s">
        <v>9</v>
      </c>
      <c r="G1623" s="2" t="s">
        <v>19</v>
      </c>
      <c r="H1623" s="2" t="s">
        <v>15</v>
      </c>
      <c r="I1623" s="2">
        <f t="shared" si="50"/>
        <v>290.08000000000004</v>
      </c>
      <c r="J1623" s="2">
        <f t="shared" si="51"/>
        <v>0.94831475366961993</v>
      </c>
    </row>
    <row r="1624" spans="1:10" x14ac:dyDescent="0.3">
      <c r="A1624" s="1">
        <v>45340</v>
      </c>
      <c r="B1624">
        <v>722.02</v>
      </c>
      <c r="C1624">
        <v>394.94</v>
      </c>
      <c r="D1624">
        <v>2</v>
      </c>
      <c r="E1624" s="2" t="s">
        <v>16</v>
      </c>
      <c r="F1624" s="2" t="s">
        <v>9</v>
      </c>
      <c r="G1624" s="2" t="s">
        <v>14</v>
      </c>
      <c r="H1624" s="2" t="s">
        <v>11</v>
      </c>
      <c r="I1624" s="2">
        <f t="shared" si="50"/>
        <v>327.08</v>
      </c>
      <c r="J1624" s="2">
        <f t="shared" si="51"/>
        <v>0.82817643186306777</v>
      </c>
    </row>
    <row r="1625" spans="1:10" x14ac:dyDescent="0.3">
      <c r="A1625" s="1">
        <v>45374</v>
      </c>
      <c r="B1625">
        <v>656.32</v>
      </c>
      <c r="C1625">
        <v>70.77</v>
      </c>
      <c r="D1625">
        <v>9</v>
      </c>
      <c r="E1625" s="2" t="s">
        <v>16</v>
      </c>
      <c r="F1625" s="2" t="s">
        <v>17</v>
      </c>
      <c r="G1625" s="2" t="s">
        <v>10</v>
      </c>
      <c r="H1625" s="2" t="s">
        <v>18</v>
      </c>
      <c r="I1625" s="2">
        <f t="shared" si="50"/>
        <v>585.55000000000007</v>
      </c>
      <c r="J1625" s="2">
        <f t="shared" si="51"/>
        <v>8.2739861523244329</v>
      </c>
    </row>
    <row r="1626" spans="1:10" x14ac:dyDescent="0.3">
      <c r="A1626" s="1">
        <v>45300</v>
      </c>
      <c r="B1626">
        <v>533.71</v>
      </c>
      <c r="C1626">
        <v>273.37</v>
      </c>
      <c r="D1626">
        <v>3</v>
      </c>
      <c r="E1626" s="2" t="s">
        <v>13</v>
      </c>
      <c r="F1626" s="2" t="s">
        <v>9</v>
      </c>
      <c r="G1626" s="2" t="s">
        <v>14</v>
      </c>
      <c r="H1626" s="2" t="s">
        <v>15</v>
      </c>
      <c r="I1626" s="2">
        <f t="shared" si="50"/>
        <v>260.34000000000003</v>
      </c>
      <c r="J1626" s="2">
        <f t="shared" si="51"/>
        <v>0.95233566228920519</v>
      </c>
    </row>
    <row r="1627" spans="1:10" x14ac:dyDescent="0.3">
      <c r="A1627" s="1">
        <v>45405</v>
      </c>
      <c r="B1627">
        <v>1378.93</v>
      </c>
      <c r="C1627">
        <v>147.69999999999999</v>
      </c>
      <c r="D1627">
        <v>10</v>
      </c>
      <c r="E1627" s="2" t="s">
        <v>13</v>
      </c>
      <c r="F1627" s="2" t="s">
        <v>9</v>
      </c>
      <c r="G1627" s="2" t="s">
        <v>19</v>
      </c>
      <c r="H1627" s="2" t="s">
        <v>15</v>
      </c>
      <c r="I1627" s="2">
        <f t="shared" si="50"/>
        <v>1231.23</v>
      </c>
      <c r="J1627" s="2">
        <f t="shared" si="51"/>
        <v>8.3360189573459724</v>
      </c>
    </row>
    <row r="1628" spans="1:10" x14ac:dyDescent="0.3">
      <c r="A1628" s="1">
        <v>45352</v>
      </c>
      <c r="B1628">
        <v>1151.99</v>
      </c>
      <c r="C1628">
        <v>186.13</v>
      </c>
      <c r="D1628">
        <v>8</v>
      </c>
      <c r="E1628" s="2" t="s">
        <v>16</v>
      </c>
      <c r="F1628" s="2" t="s">
        <v>9</v>
      </c>
      <c r="G1628" s="2" t="s">
        <v>10</v>
      </c>
      <c r="H1628" s="2" t="s">
        <v>20</v>
      </c>
      <c r="I1628" s="2">
        <f t="shared" si="50"/>
        <v>965.86</v>
      </c>
      <c r="J1628" s="2">
        <f t="shared" si="51"/>
        <v>5.1891688604738624</v>
      </c>
    </row>
    <row r="1629" spans="1:10" x14ac:dyDescent="0.3">
      <c r="A1629" s="1">
        <v>45379</v>
      </c>
      <c r="B1629">
        <v>893.55</v>
      </c>
      <c r="C1629">
        <v>478.17</v>
      </c>
      <c r="D1629">
        <v>3</v>
      </c>
      <c r="E1629" s="2" t="s">
        <v>13</v>
      </c>
      <c r="F1629" s="2" t="s">
        <v>17</v>
      </c>
      <c r="G1629" s="2" t="s">
        <v>12</v>
      </c>
      <c r="H1629" s="2" t="s">
        <v>20</v>
      </c>
      <c r="I1629" s="2">
        <f t="shared" si="50"/>
        <v>415.37999999999994</v>
      </c>
      <c r="J1629" s="2">
        <f t="shared" si="51"/>
        <v>0.86868686868686851</v>
      </c>
    </row>
    <row r="1630" spans="1:10" x14ac:dyDescent="0.3">
      <c r="A1630" s="1">
        <v>45339</v>
      </c>
      <c r="B1630">
        <v>407.88</v>
      </c>
      <c r="C1630">
        <v>25.71</v>
      </c>
      <c r="D1630">
        <v>6</v>
      </c>
      <c r="E1630" s="2" t="s">
        <v>13</v>
      </c>
      <c r="F1630" s="2" t="s">
        <v>9</v>
      </c>
      <c r="G1630" s="2" t="s">
        <v>10</v>
      </c>
      <c r="H1630" s="2" t="s">
        <v>15</v>
      </c>
      <c r="I1630" s="2">
        <f t="shared" si="50"/>
        <v>382.17</v>
      </c>
      <c r="J1630" s="2">
        <f t="shared" si="51"/>
        <v>14.864644107351225</v>
      </c>
    </row>
    <row r="1631" spans="1:10" x14ac:dyDescent="0.3">
      <c r="A1631" s="1">
        <v>45301</v>
      </c>
      <c r="B1631">
        <v>1048.3399999999999</v>
      </c>
      <c r="C1631">
        <v>437.84</v>
      </c>
      <c r="D1631">
        <v>4</v>
      </c>
      <c r="E1631" s="2" t="s">
        <v>8</v>
      </c>
      <c r="F1631" s="2" t="s">
        <v>9</v>
      </c>
      <c r="G1631" s="2" t="s">
        <v>10</v>
      </c>
      <c r="H1631" s="2" t="s">
        <v>11</v>
      </c>
      <c r="I1631" s="2">
        <f t="shared" si="50"/>
        <v>610.5</v>
      </c>
      <c r="J1631" s="2">
        <f t="shared" si="51"/>
        <v>1.3943449661976979</v>
      </c>
    </row>
    <row r="1632" spans="1:10" x14ac:dyDescent="0.3">
      <c r="A1632" s="1">
        <v>45357</v>
      </c>
      <c r="B1632">
        <v>1066.53</v>
      </c>
      <c r="C1632">
        <v>472.67</v>
      </c>
      <c r="D1632">
        <v>10</v>
      </c>
      <c r="E1632" s="2" t="s">
        <v>8</v>
      </c>
      <c r="F1632" s="2" t="s">
        <v>17</v>
      </c>
      <c r="G1632" s="2" t="s">
        <v>14</v>
      </c>
      <c r="H1632" s="2" t="s">
        <v>18</v>
      </c>
      <c r="I1632" s="2">
        <f t="shared" si="50"/>
        <v>593.8599999999999</v>
      </c>
      <c r="J1632" s="2">
        <f t="shared" si="51"/>
        <v>1.256394524721264</v>
      </c>
    </row>
    <row r="1633" spans="1:10" x14ac:dyDescent="0.3">
      <c r="A1633" s="1">
        <v>45387</v>
      </c>
      <c r="B1633">
        <v>712.12</v>
      </c>
      <c r="C1633">
        <v>473.11</v>
      </c>
      <c r="D1633">
        <v>1</v>
      </c>
      <c r="E1633" s="2" t="s">
        <v>8</v>
      </c>
      <c r="F1633" s="2" t="s">
        <v>9</v>
      </c>
      <c r="G1633" s="2" t="s">
        <v>12</v>
      </c>
      <c r="H1633" s="2" t="s">
        <v>15</v>
      </c>
      <c r="I1633" s="2">
        <f t="shared" si="50"/>
        <v>239.01</v>
      </c>
      <c r="J1633" s="2">
        <f t="shared" si="51"/>
        <v>0.50518906808141861</v>
      </c>
    </row>
    <row r="1634" spans="1:10" x14ac:dyDescent="0.3">
      <c r="A1634" s="1">
        <v>45347</v>
      </c>
      <c r="B1634">
        <v>553.04999999999995</v>
      </c>
      <c r="C1634">
        <v>125.48</v>
      </c>
      <c r="D1634">
        <v>5</v>
      </c>
      <c r="E1634" s="2" t="s">
        <v>16</v>
      </c>
      <c r="F1634" s="2" t="s">
        <v>9</v>
      </c>
      <c r="G1634" s="2" t="s">
        <v>19</v>
      </c>
      <c r="H1634" s="2" t="s">
        <v>18</v>
      </c>
      <c r="I1634" s="2">
        <f t="shared" si="50"/>
        <v>427.56999999999994</v>
      </c>
      <c r="J1634" s="2">
        <f t="shared" si="51"/>
        <v>3.4074752948677074</v>
      </c>
    </row>
    <row r="1635" spans="1:10" x14ac:dyDescent="0.3">
      <c r="A1635" s="1">
        <v>45376</v>
      </c>
      <c r="B1635">
        <v>499.68</v>
      </c>
      <c r="C1635">
        <v>424.29</v>
      </c>
      <c r="D1635">
        <v>4</v>
      </c>
      <c r="E1635" s="2" t="s">
        <v>13</v>
      </c>
      <c r="F1635" s="2" t="s">
        <v>9</v>
      </c>
      <c r="G1635" s="2" t="s">
        <v>10</v>
      </c>
      <c r="H1635" s="2" t="s">
        <v>20</v>
      </c>
      <c r="I1635" s="2">
        <f t="shared" si="50"/>
        <v>75.389999999999986</v>
      </c>
      <c r="J1635" s="2">
        <f t="shared" si="51"/>
        <v>0.1776850738881425</v>
      </c>
    </row>
    <row r="1636" spans="1:10" x14ac:dyDescent="0.3">
      <c r="A1636" s="1">
        <v>45330</v>
      </c>
      <c r="B1636">
        <v>1498.53</v>
      </c>
      <c r="C1636">
        <v>107.76</v>
      </c>
      <c r="D1636">
        <v>3</v>
      </c>
      <c r="E1636" s="2" t="s">
        <v>8</v>
      </c>
      <c r="F1636" s="2" t="s">
        <v>9</v>
      </c>
      <c r="G1636" s="2" t="s">
        <v>14</v>
      </c>
      <c r="H1636" s="2" t="s">
        <v>20</v>
      </c>
      <c r="I1636" s="2">
        <f t="shared" si="50"/>
        <v>1390.77</v>
      </c>
      <c r="J1636" s="2">
        <f t="shared" si="51"/>
        <v>12.906180400890868</v>
      </c>
    </row>
    <row r="1637" spans="1:10" x14ac:dyDescent="0.3">
      <c r="A1637" s="1">
        <v>45305</v>
      </c>
      <c r="B1637">
        <v>1284.2</v>
      </c>
      <c r="C1637">
        <v>134.19</v>
      </c>
      <c r="D1637">
        <v>7</v>
      </c>
      <c r="E1637" s="2" t="s">
        <v>8</v>
      </c>
      <c r="F1637" s="2" t="s">
        <v>9</v>
      </c>
      <c r="G1637" s="2" t="s">
        <v>14</v>
      </c>
      <c r="H1637" s="2" t="s">
        <v>15</v>
      </c>
      <c r="I1637" s="2">
        <f t="shared" si="50"/>
        <v>1150.01</v>
      </c>
      <c r="J1637" s="2">
        <f t="shared" si="51"/>
        <v>8.5700126686042175</v>
      </c>
    </row>
    <row r="1638" spans="1:10" x14ac:dyDescent="0.3">
      <c r="A1638" s="1">
        <v>45308</v>
      </c>
      <c r="B1638">
        <v>1436.89</v>
      </c>
      <c r="C1638">
        <v>14.69</v>
      </c>
      <c r="D1638">
        <v>5</v>
      </c>
      <c r="E1638" s="2" t="s">
        <v>8</v>
      </c>
      <c r="F1638" s="2" t="s">
        <v>17</v>
      </c>
      <c r="G1638" s="2" t="s">
        <v>14</v>
      </c>
      <c r="H1638" s="2" t="s">
        <v>18</v>
      </c>
      <c r="I1638" s="2">
        <f t="shared" si="50"/>
        <v>1422.2</v>
      </c>
      <c r="J1638" s="2">
        <f t="shared" si="51"/>
        <v>96.814159292035399</v>
      </c>
    </row>
    <row r="1639" spans="1:10" x14ac:dyDescent="0.3">
      <c r="A1639" s="1">
        <v>45351</v>
      </c>
      <c r="B1639">
        <v>465.56</v>
      </c>
      <c r="C1639">
        <v>97.02</v>
      </c>
      <c r="D1639">
        <v>6</v>
      </c>
      <c r="E1639" s="2" t="s">
        <v>16</v>
      </c>
      <c r="F1639" s="2" t="s">
        <v>17</v>
      </c>
      <c r="G1639" s="2" t="s">
        <v>19</v>
      </c>
      <c r="H1639" s="2" t="s">
        <v>15</v>
      </c>
      <c r="I1639" s="2">
        <f t="shared" si="50"/>
        <v>368.54</v>
      </c>
      <c r="J1639" s="2">
        <f t="shared" si="51"/>
        <v>3.7985982271696561</v>
      </c>
    </row>
    <row r="1640" spans="1:10" x14ac:dyDescent="0.3">
      <c r="A1640" s="1">
        <v>45396</v>
      </c>
      <c r="B1640">
        <v>202.74</v>
      </c>
      <c r="C1640">
        <v>404.53</v>
      </c>
      <c r="D1640">
        <v>7</v>
      </c>
      <c r="E1640" s="2" t="s">
        <v>16</v>
      </c>
      <c r="F1640" s="2" t="s">
        <v>9</v>
      </c>
      <c r="G1640" s="2" t="s">
        <v>12</v>
      </c>
      <c r="H1640" s="2" t="s">
        <v>20</v>
      </c>
      <c r="I1640" s="2">
        <f t="shared" si="50"/>
        <v>-201.78999999999996</v>
      </c>
      <c r="J1640" s="2">
        <f t="shared" si="51"/>
        <v>-0.49882579783946795</v>
      </c>
    </row>
    <row r="1641" spans="1:10" x14ac:dyDescent="0.3">
      <c r="A1641" s="1">
        <v>45399</v>
      </c>
      <c r="B1641">
        <v>1353.83</v>
      </c>
      <c r="C1641">
        <v>354.11</v>
      </c>
      <c r="D1641">
        <v>9</v>
      </c>
      <c r="E1641" s="2" t="s">
        <v>13</v>
      </c>
      <c r="F1641" s="2" t="s">
        <v>17</v>
      </c>
      <c r="G1641" s="2" t="s">
        <v>19</v>
      </c>
      <c r="H1641" s="2" t="s">
        <v>15</v>
      </c>
      <c r="I1641" s="2">
        <f t="shared" si="50"/>
        <v>999.71999999999991</v>
      </c>
      <c r="J1641" s="2">
        <f t="shared" si="51"/>
        <v>2.823190534014854</v>
      </c>
    </row>
    <row r="1642" spans="1:10" x14ac:dyDescent="0.3">
      <c r="A1642" s="1">
        <v>45341</v>
      </c>
      <c r="B1642">
        <v>1045.4000000000001</v>
      </c>
      <c r="C1642">
        <v>359.25</v>
      </c>
      <c r="D1642">
        <v>0</v>
      </c>
      <c r="E1642" s="2" t="s">
        <v>16</v>
      </c>
      <c r="F1642" s="2" t="s">
        <v>17</v>
      </c>
      <c r="G1642" s="2" t="s">
        <v>14</v>
      </c>
      <c r="H1642" s="2" t="s">
        <v>11</v>
      </c>
      <c r="I1642" s="2">
        <f t="shared" si="50"/>
        <v>686.15000000000009</v>
      </c>
      <c r="J1642" s="2">
        <f t="shared" si="51"/>
        <v>1.9099512874043147</v>
      </c>
    </row>
    <row r="1643" spans="1:10" x14ac:dyDescent="0.3">
      <c r="A1643" s="1">
        <v>45391</v>
      </c>
      <c r="B1643">
        <v>1150.72</v>
      </c>
      <c r="C1643">
        <v>196.19</v>
      </c>
      <c r="D1643">
        <v>9</v>
      </c>
      <c r="E1643" s="2" t="s">
        <v>16</v>
      </c>
      <c r="F1643" s="2" t="s">
        <v>17</v>
      </c>
      <c r="G1643" s="2" t="s">
        <v>10</v>
      </c>
      <c r="H1643" s="2" t="s">
        <v>20</v>
      </c>
      <c r="I1643" s="2">
        <f t="shared" si="50"/>
        <v>954.53</v>
      </c>
      <c r="J1643" s="2">
        <f t="shared" si="51"/>
        <v>4.8653346245986029</v>
      </c>
    </row>
    <row r="1644" spans="1:10" x14ac:dyDescent="0.3">
      <c r="A1644" s="1">
        <v>45318</v>
      </c>
      <c r="B1644">
        <v>299.64999999999998</v>
      </c>
      <c r="C1644">
        <v>166.79</v>
      </c>
      <c r="D1644">
        <v>6</v>
      </c>
      <c r="E1644" s="2" t="s">
        <v>16</v>
      </c>
      <c r="F1644" s="2" t="s">
        <v>9</v>
      </c>
      <c r="G1644" s="2" t="s">
        <v>14</v>
      </c>
      <c r="H1644" s="2" t="s">
        <v>15</v>
      </c>
      <c r="I1644" s="2">
        <f t="shared" si="50"/>
        <v>132.85999999999999</v>
      </c>
      <c r="J1644" s="2">
        <f t="shared" si="51"/>
        <v>0.79657053780202647</v>
      </c>
    </row>
    <row r="1645" spans="1:10" x14ac:dyDescent="0.3">
      <c r="A1645" s="1">
        <v>45392</v>
      </c>
      <c r="B1645">
        <v>1280.54</v>
      </c>
      <c r="C1645">
        <v>152.25</v>
      </c>
      <c r="D1645">
        <v>3</v>
      </c>
      <c r="E1645" s="2" t="s">
        <v>16</v>
      </c>
      <c r="F1645" s="2" t="s">
        <v>9</v>
      </c>
      <c r="G1645" s="2" t="s">
        <v>19</v>
      </c>
      <c r="H1645" s="2" t="s">
        <v>11</v>
      </c>
      <c r="I1645" s="2">
        <f t="shared" si="50"/>
        <v>1128.29</v>
      </c>
      <c r="J1645" s="2">
        <f t="shared" si="51"/>
        <v>7.4107717569786535</v>
      </c>
    </row>
    <row r="1646" spans="1:10" x14ac:dyDescent="0.3">
      <c r="A1646" s="1">
        <v>45366</v>
      </c>
      <c r="B1646">
        <v>641.29</v>
      </c>
      <c r="C1646">
        <v>194.23</v>
      </c>
      <c r="D1646">
        <v>6</v>
      </c>
      <c r="E1646" s="2" t="s">
        <v>16</v>
      </c>
      <c r="F1646" s="2" t="s">
        <v>9</v>
      </c>
      <c r="G1646" s="2" t="s">
        <v>14</v>
      </c>
      <c r="H1646" s="2" t="s">
        <v>15</v>
      </c>
      <c r="I1646" s="2">
        <f t="shared" si="50"/>
        <v>447.05999999999995</v>
      </c>
      <c r="J1646" s="2">
        <f t="shared" si="51"/>
        <v>2.3017041651650105</v>
      </c>
    </row>
    <row r="1647" spans="1:10" x14ac:dyDescent="0.3">
      <c r="A1647" s="1">
        <v>45343</v>
      </c>
      <c r="B1647">
        <v>700.64</v>
      </c>
      <c r="C1647">
        <v>171.44</v>
      </c>
      <c r="D1647">
        <v>8</v>
      </c>
      <c r="E1647" s="2" t="s">
        <v>8</v>
      </c>
      <c r="F1647" s="2" t="s">
        <v>9</v>
      </c>
      <c r="G1647" s="2" t="s">
        <v>14</v>
      </c>
      <c r="H1647" s="2" t="s">
        <v>18</v>
      </c>
      <c r="I1647" s="2">
        <f t="shared" si="50"/>
        <v>529.20000000000005</v>
      </c>
      <c r="J1647" s="2">
        <f t="shared" si="51"/>
        <v>3.0867942137190858</v>
      </c>
    </row>
    <row r="1648" spans="1:10" x14ac:dyDescent="0.3">
      <c r="A1648" s="1">
        <v>45395</v>
      </c>
      <c r="B1648">
        <v>531.86</v>
      </c>
      <c r="C1648">
        <v>199.15</v>
      </c>
      <c r="D1648">
        <v>7</v>
      </c>
      <c r="E1648" s="2" t="s">
        <v>13</v>
      </c>
      <c r="F1648" s="2" t="s">
        <v>17</v>
      </c>
      <c r="G1648" s="2" t="s">
        <v>19</v>
      </c>
      <c r="H1648" s="2" t="s">
        <v>15</v>
      </c>
      <c r="I1648" s="2">
        <f t="shared" si="50"/>
        <v>332.71000000000004</v>
      </c>
      <c r="J1648" s="2">
        <f t="shared" si="51"/>
        <v>1.6706502636203868</v>
      </c>
    </row>
    <row r="1649" spans="1:10" x14ac:dyDescent="0.3">
      <c r="A1649" s="1">
        <v>45303</v>
      </c>
      <c r="B1649">
        <v>965.25</v>
      </c>
      <c r="C1649">
        <v>143.13999999999999</v>
      </c>
      <c r="D1649">
        <v>1</v>
      </c>
      <c r="E1649" s="2" t="s">
        <v>13</v>
      </c>
      <c r="F1649" s="2" t="s">
        <v>17</v>
      </c>
      <c r="G1649" s="2" t="s">
        <v>19</v>
      </c>
      <c r="H1649" s="2" t="s">
        <v>15</v>
      </c>
      <c r="I1649" s="2">
        <f t="shared" si="50"/>
        <v>822.11</v>
      </c>
      <c r="J1649" s="2">
        <f t="shared" si="51"/>
        <v>5.7433980718178015</v>
      </c>
    </row>
    <row r="1650" spans="1:10" x14ac:dyDescent="0.3">
      <c r="A1650" s="1">
        <v>45303</v>
      </c>
      <c r="B1650">
        <v>1058</v>
      </c>
      <c r="C1650">
        <v>84.81</v>
      </c>
      <c r="D1650">
        <v>6</v>
      </c>
      <c r="E1650" s="2" t="s">
        <v>8</v>
      </c>
      <c r="F1650" s="2" t="s">
        <v>9</v>
      </c>
      <c r="G1650" s="2" t="s">
        <v>19</v>
      </c>
      <c r="H1650" s="2" t="s">
        <v>11</v>
      </c>
      <c r="I1650" s="2">
        <f t="shared" si="50"/>
        <v>973.19</v>
      </c>
      <c r="J1650" s="2">
        <f t="shared" si="51"/>
        <v>11.474943992453721</v>
      </c>
    </row>
    <row r="1651" spans="1:10" x14ac:dyDescent="0.3">
      <c r="A1651" s="1">
        <v>45383</v>
      </c>
      <c r="B1651">
        <v>404.08</v>
      </c>
      <c r="C1651">
        <v>428</v>
      </c>
      <c r="D1651">
        <v>6</v>
      </c>
      <c r="E1651" s="2" t="s">
        <v>16</v>
      </c>
      <c r="F1651" s="2" t="s">
        <v>9</v>
      </c>
      <c r="G1651" s="2" t="s">
        <v>10</v>
      </c>
      <c r="H1651" s="2" t="s">
        <v>20</v>
      </c>
      <c r="I1651" s="2">
        <f t="shared" si="50"/>
        <v>-23.920000000000016</v>
      </c>
      <c r="J1651" s="2">
        <f t="shared" si="51"/>
        <v>-5.5887850467289758E-2</v>
      </c>
    </row>
    <row r="1652" spans="1:10" x14ac:dyDescent="0.3">
      <c r="A1652" s="1">
        <v>45325</v>
      </c>
      <c r="B1652">
        <v>356.71</v>
      </c>
      <c r="C1652">
        <v>385.54</v>
      </c>
      <c r="D1652">
        <v>8</v>
      </c>
      <c r="E1652" s="2" t="s">
        <v>16</v>
      </c>
      <c r="F1652" s="2" t="s">
        <v>9</v>
      </c>
      <c r="G1652" s="2" t="s">
        <v>10</v>
      </c>
      <c r="H1652" s="2" t="s">
        <v>20</v>
      </c>
      <c r="I1652" s="2">
        <f t="shared" si="50"/>
        <v>-28.830000000000041</v>
      </c>
      <c r="J1652" s="2">
        <f t="shared" si="51"/>
        <v>-7.4778233127561447E-2</v>
      </c>
    </row>
    <row r="1653" spans="1:10" x14ac:dyDescent="0.3">
      <c r="A1653" s="1">
        <v>45294</v>
      </c>
      <c r="B1653">
        <v>438.91</v>
      </c>
      <c r="C1653">
        <v>480.76</v>
      </c>
      <c r="D1653">
        <v>0</v>
      </c>
      <c r="E1653" s="2" t="s">
        <v>8</v>
      </c>
      <c r="F1653" s="2" t="s">
        <v>17</v>
      </c>
      <c r="G1653" s="2" t="s">
        <v>10</v>
      </c>
      <c r="H1653" s="2" t="s">
        <v>20</v>
      </c>
      <c r="I1653" s="2">
        <f t="shared" si="50"/>
        <v>-41.849999999999966</v>
      </c>
      <c r="J1653" s="2">
        <f t="shared" si="51"/>
        <v>-8.704967135368992E-2</v>
      </c>
    </row>
    <row r="1654" spans="1:10" x14ac:dyDescent="0.3">
      <c r="A1654" s="1">
        <v>45352</v>
      </c>
      <c r="B1654">
        <v>578.21</v>
      </c>
      <c r="C1654">
        <v>122.07</v>
      </c>
      <c r="D1654">
        <v>1</v>
      </c>
      <c r="E1654" s="2" t="s">
        <v>16</v>
      </c>
      <c r="F1654" s="2" t="s">
        <v>17</v>
      </c>
      <c r="G1654" s="2" t="s">
        <v>19</v>
      </c>
      <c r="H1654" s="2" t="s">
        <v>20</v>
      </c>
      <c r="I1654" s="2">
        <f t="shared" si="50"/>
        <v>456.14000000000004</v>
      </c>
      <c r="J1654" s="2">
        <f t="shared" si="51"/>
        <v>3.7367084459736222</v>
      </c>
    </row>
    <row r="1655" spans="1:10" x14ac:dyDescent="0.3">
      <c r="A1655" s="1">
        <v>45353</v>
      </c>
      <c r="B1655">
        <v>544.87</v>
      </c>
      <c r="C1655">
        <v>164.43</v>
      </c>
      <c r="D1655">
        <v>4</v>
      </c>
      <c r="E1655" s="2" t="s">
        <v>13</v>
      </c>
      <c r="F1655" s="2" t="s">
        <v>9</v>
      </c>
      <c r="G1655" s="2" t="s">
        <v>19</v>
      </c>
      <c r="H1655" s="2" t="s">
        <v>11</v>
      </c>
      <c r="I1655" s="2">
        <f t="shared" si="50"/>
        <v>380.44</v>
      </c>
      <c r="J1655" s="2">
        <f t="shared" si="51"/>
        <v>2.3136897159885663</v>
      </c>
    </row>
    <row r="1656" spans="1:10" x14ac:dyDescent="0.3">
      <c r="A1656" s="1">
        <v>45333</v>
      </c>
      <c r="B1656">
        <v>1308.0999999999999</v>
      </c>
      <c r="C1656">
        <v>298.02</v>
      </c>
      <c r="D1656">
        <v>4</v>
      </c>
      <c r="E1656" s="2" t="s">
        <v>13</v>
      </c>
      <c r="F1656" s="2" t="s">
        <v>9</v>
      </c>
      <c r="G1656" s="2" t="s">
        <v>10</v>
      </c>
      <c r="H1656" s="2" t="s">
        <v>11</v>
      </c>
      <c r="I1656" s="2">
        <f t="shared" si="50"/>
        <v>1010.0799999999999</v>
      </c>
      <c r="J1656" s="2">
        <f t="shared" si="51"/>
        <v>3.3893027313603112</v>
      </c>
    </row>
    <row r="1657" spans="1:10" x14ac:dyDescent="0.3">
      <c r="A1657" s="1">
        <v>45297</v>
      </c>
      <c r="B1657">
        <v>612.32000000000005</v>
      </c>
      <c r="C1657">
        <v>271.85000000000002</v>
      </c>
      <c r="D1657">
        <v>0</v>
      </c>
      <c r="E1657" s="2" t="s">
        <v>8</v>
      </c>
      <c r="F1657" s="2" t="s">
        <v>17</v>
      </c>
      <c r="G1657" s="2" t="s">
        <v>19</v>
      </c>
      <c r="H1657" s="2" t="s">
        <v>20</v>
      </c>
      <c r="I1657" s="2">
        <f t="shared" si="50"/>
        <v>340.47</v>
      </c>
      <c r="J1657" s="2">
        <f t="shared" si="51"/>
        <v>1.2524186132058119</v>
      </c>
    </row>
    <row r="1658" spans="1:10" x14ac:dyDescent="0.3">
      <c r="A1658" s="1">
        <v>45412</v>
      </c>
      <c r="B1658">
        <v>1251.71</v>
      </c>
      <c r="C1658">
        <v>387.98</v>
      </c>
      <c r="D1658">
        <v>10</v>
      </c>
      <c r="E1658" s="2" t="s">
        <v>8</v>
      </c>
      <c r="F1658" s="2" t="s">
        <v>9</v>
      </c>
      <c r="G1658" s="2" t="s">
        <v>19</v>
      </c>
      <c r="H1658" s="2" t="s">
        <v>11</v>
      </c>
      <c r="I1658" s="2">
        <f t="shared" si="50"/>
        <v>863.73</v>
      </c>
      <c r="J1658" s="2">
        <f t="shared" si="51"/>
        <v>2.2262230011856281</v>
      </c>
    </row>
    <row r="1659" spans="1:10" x14ac:dyDescent="0.3">
      <c r="A1659" s="1">
        <v>45379</v>
      </c>
      <c r="B1659">
        <v>171.72</v>
      </c>
      <c r="C1659">
        <v>384.82</v>
      </c>
      <c r="D1659">
        <v>9</v>
      </c>
      <c r="E1659" s="2" t="s">
        <v>13</v>
      </c>
      <c r="F1659" s="2" t="s">
        <v>9</v>
      </c>
      <c r="G1659" s="2" t="s">
        <v>14</v>
      </c>
      <c r="H1659" s="2" t="s">
        <v>15</v>
      </c>
      <c r="I1659" s="2">
        <f t="shared" si="50"/>
        <v>-213.1</v>
      </c>
      <c r="J1659" s="2">
        <f t="shared" si="51"/>
        <v>-0.55376539680889769</v>
      </c>
    </row>
    <row r="1660" spans="1:10" x14ac:dyDescent="0.3">
      <c r="A1660" s="1">
        <v>45306</v>
      </c>
      <c r="B1660">
        <v>686.8</v>
      </c>
      <c r="C1660">
        <v>106.05</v>
      </c>
      <c r="D1660">
        <v>10</v>
      </c>
      <c r="E1660" s="2" t="s">
        <v>8</v>
      </c>
      <c r="F1660" s="2" t="s">
        <v>17</v>
      </c>
      <c r="G1660" s="2" t="s">
        <v>12</v>
      </c>
      <c r="H1660" s="2" t="s">
        <v>15</v>
      </c>
      <c r="I1660" s="2">
        <f t="shared" si="50"/>
        <v>580.75</v>
      </c>
      <c r="J1660" s="2">
        <f t="shared" si="51"/>
        <v>5.4761904761904763</v>
      </c>
    </row>
    <row r="1661" spans="1:10" x14ac:dyDescent="0.3">
      <c r="A1661" s="1">
        <v>45397</v>
      </c>
      <c r="B1661">
        <v>243.37</v>
      </c>
      <c r="C1661">
        <v>255.08</v>
      </c>
      <c r="D1661">
        <v>9</v>
      </c>
      <c r="E1661" s="2" t="s">
        <v>16</v>
      </c>
      <c r="F1661" s="2" t="s">
        <v>17</v>
      </c>
      <c r="G1661" s="2" t="s">
        <v>14</v>
      </c>
      <c r="H1661" s="2" t="s">
        <v>11</v>
      </c>
      <c r="I1661" s="2">
        <f t="shared" si="50"/>
        <v>-11.710000000000008</v>
      </c>
      <c r="J1661" s="2">
        <f t="shared" si="51"/>
        <v>-4.590716637917519E-2</v>
      </c>
    </row>
    <row r="1662" spans="1:10" x14ac:dyDescent="0.3">
      <c r="A1662" s="1">
        <v>45317</v>
      </c>
      <c r="B1662">
        <v>981.36</v>
      </c>
      <c r="C1662">
        <v>162.66999999999999</v>
      </c>
      <c r="D1662">
        <v>0</v>
      </c>
      <c r="E1662" s="2" t="s">
        <v>8</v>
      </c>
      <c r="F1662" s="2" t="s">
        <v>17</v>
      </c>
      <c r="G1662" s="2" t="s">
        <v>19</v>
      </c>
      <c r="H1662" s="2" t="s">
        <v>20</v>
      </c>
      <c r="I1662" s="2">
        <f t="shared" si="50"/>
        <v>818.69</v>
      </c>
      <c r="J1662" s="2">
        <f t="shared" si="51"/>
        <v>5.0328271961640141</v>
      </c>
    </row>
    <row r="1663" spans="1:10" x14ac:dyDescent="0.3">
      <c r="A1663" s="1">
        <v>45406</v>
      </c>
      <c r="B1663">
        <v>879.43</v>
      </c>
      <c r="C1663">
        <v>261.95</v>
      </c>
      <c r="D1663">
        <v>6</v>
      </c>
      <c r="E1663" s="2" t="s">
        <v>16</v>
      </c>
      <c r="F1663" s="2" t="s">
        <v>17</v>
      </c>
      <c r="G1663" s="2" t="s">
        <v>10</v>
      </c>
      <c r="H1663" s="2" t="s">
        <v>20</v>
      </c>
      <c r="I1663" s="2">
        <f t="shared" si="50"/>
        <v>617.48</v>
      </c>
      <c r="J1663" s="2">
        <f t="shared" si="51"/>
        <v>2.3572437488070244</v>
      </c>
    </row>
    <row r="1664" spans="1:10" x14ac:dyDescent="0.3">
      <c r="A1664" s="1">
        <v>45304</v>
      </c>
      <c r="B1664">
        <v>243.26</v>
      </c>
      <c r="C1664">
        <v>42.54</v>
      </c>
      <c r="D1664">
        <v>4</v>
      </c>
      <c r="E1664" s="2" t="s">
        <v>13</v>
      </c>
      <c r="F1664" s="2" t="s">
        <v>9</v>
      </c>
      <c r="G1664" s="2" t="s">
        <v>10</v>
      </c>
      <c r="H1664" s="2" t="s">
        <v>20</v>
      </c>
      <c r="I1664" s="2">
        <f t="shared" si="50"/>
        <v>200.72</v>
      </c>
      <c r="J1664" s="2">
        <f t="shared" si="51"/>
        <v>4.7183826986365771</v>
      </c>
    </row>
    <row r="1665" spans="1:10" x14ac:dyDescent="0.3">
      <c r="A1665" s="1">
        <v>45405</v>
      </c>
      <c r="B1665">
        <v>1498.49</v>
      </c>
      <c r="C1665">
        <v>327.60000000000002</v>
      </c>
      <c r="D1665">
        <v>2</v>
      </c>
      <c r="E1665" s="2" t="s">
        <v>8</v>
      </c>
      <c r="F1665" s="2" t="s">
        <v>17</v>
      </c>
      <c r="G1665" s="2" t="s">
        <v>12</v>
      </c>
      <c r="H1665" s="2" t="s">
        <v>20</v>
      </c>
      <c r="I1665" s="2">
        <f t="shared" si="50"/>
        <v>1170.8899999999999</v>
      </c>
      <c r="J1665" s="2">
        <f t="shared" si="51"/>
        <v>3.5741452991452984</v>
      </c>
    </row>
    <row r="1666" spans="1:10" x14ac:dyDescent="0.3">
      <c r="A1666" s="1">
        <v>45339</v>
      </c>
      <c r="B1666">
        <v>1045.01</v>
      </c>
      <c r="C1666">
        <v>168.82</v>
      </c>
      <c r="D1666">
        <v>7</v>
      </c>
      <c r="E1666" s="2" t="s">
        <v>16</v>
      </c>
      <c r="F1666" s="2" t="s">
        <v>17</v>
      </c>
      <c r="G1666" s="2" t="s">
        <v>19</v>
      </c>
      <c r="H1666" s="2" t="s">
        <v>15</v>
      </c>
      <c r="I1666" s="2">
        <f t="shared" ref="I1666:I1729" si="52">B1666-C1666</f>
        <v>876.19</v>
      </c>
      <c r="J1666" s="2">
        <f t="shared" ref="J1666:J1729" si="53">IF(C1666=0,0,I1666/C1666)</f>
        <v>5.1900841132567237</v>
      </c>
    </row>
    <row r="1667" spans="1:10" x14ac:dyDescent="0.3">
      <c r="A1667" s="1">
        <v>45326</v>
      </c>
      <c r="B1667">
        <v>266.29000000000002</v>
      </c>
      <c r="C1667">
        <v>396.44</v>
      </c>
      <c r="D1667">
        <v>0</v>
      </c>
      <c r="E1667" s="2" t="s">
        <v>13</v>
      </c>
      <c r="F1667" s="2" t="s">
        <v>17</v>
      </c>
      <c r="G1667" s="2" t="s">
        <v>10</v>
      </c>
      <c r="H1667" s="2" t="s">
        <v>20</v>
      </c>
      <c r="I1667" s="2">
        <f t="shared" si="52"/>
        <v>-130.14999999999998</v>
      </c>
      <c r="J1667" s="2">
        <f t="shared" si="53"/>
        <v>-0.3282968418928463</v>
      </c>
    </row>
    <row r="1668" spans="1:10" x14ac:dyDescent="0.3">
      <c r="A1668" s="1">
        <v>45324</v>
      </c>
      <c r="B1668">
        <v>132.91999999999999</v>
      </c>
      <c r="C1668">
        <v>292.74</v>
      </c>
      <c r="D1668">
        <v>7</v>
      </c>
      <c r="E1668" s="2" t="s">
        <v>8</v>
      </c>
      <c r="F1668" s="2" t="s">
        <v>17</v>
      </c>
      <c r="G1668" s="2" t="s">
        <v>10</v>
      </c>
      <c r="H1668" s="2" t="s">
        <v>18</v>
      </c>
      <c r="I1668" s="2">
        <f t="shared" si="52"/>
        <v>-159.82000000000002</v>
      </c>
      <c r="J1668" s="2">
        <f t="shared" si="53"/>
        <v>-0.5459452073512332</v>
      </c>
    </row>
    <row r="1669" spans="1:10" x14ac:dyDescent="0.3">
      <c r="A1669" s="1">
        <v>45372</v>
      </c>
      <c r="B1669">
        <v>1058.83</v>
      </c>
      <c r="C1669">
        <v>312.16000000000003</v>
      </c>
      <c r="D1669">
        <v>8</v>
      </c>
      <c r="E1669" s="2" t="s">
        <v>13</v>
      </c>
      <c r="F1669" s="2" t="s">
        <v>17</v>
      </c>
      <c r="G1669" s="2" t="s">
        <v>14</v>
      </c>
      <c r="H1669" s="2" t="s">
        <v>11</v>
      </c>
      <c r="I1669" s="2">
        <f t="shared" si="52"/>
        <v>746.66999999999985</v>
      </c>
      <c r="J1669" s="2">
        <f t="shared" si="53"/>
        <v>2.3919464377242434</v>
      </c>
    </row>
    <row r="1670" spans="1:10" x14ac:dyDescent="0.3">
      <c r="A1670" s="1">
        <v>45311</v>
      </c>
      <c r="B1670">
        <v>187.16</v>
      </c>
      <c r="C1670">
        <v>185.58</v>
      </c>
      <c r="D1670">
        <v>7</v>
      </c>
      <c r="E1670" s="2" t="s">
        <v>16</v>
      </c>
      <c r="F1670" s="2" t="s">
        <v>17</v>
      </c>
      <c r="G1670" s="2" t="s">
        <v>10</v>
      </c>
      <c r="H1670" s="2" t="s">
        <v>11</v>
      </c>
      <c r="I1670" s="2">
        <f t="shared" si="52"/>
        <v>1.5799999999999841</v>
      </c>
      <c r="J1670" s="2">
        <f t="shared" si="53"/>
        <v>8.5138484750511053E-3</v>
      </c>
    </row>
    <row r="1671" spans="1:10" x14ac:dyDescent="0.3">
      <c r="A1671" s="1">
        <v>45359</v>
      </c>
      <c r="B1671">
        <v>1438.55</v>
      </c>
      <c r="C1671">
        <v>38.28</v>
      </c>
      <c r="D1671">
        <v>5</v>
      </c>
      <c r="E1671" s="2" t="s">
        <v>8</v>
      </c>
      <c r="F1671" s="2" t="s">
        <v>9</v>
      </c>
      <c r="G1671" s="2" t="s">
        <v>10</v>
      </c>
      <c r="H1671" s="2" t="s">
        <v>18</v>
      </c>
      <c r="I1671" s="2">
        <f t="shared" si="52"/>
        <v>1400.27</v>
      </c>
      <c r="J1671" s="2">
        <f t="shared" si="53"/>
        <v>36.579676071055381</v>
      </c>
    </row>
    <row r="1672" spans="1:10" x14ac:dyDescent="0.3">
      <c r="A1672" s="1">
        <v>45354</v>
      </c>
      <c r="B1672">
        <v>1143.1099999999999</v>
      </c>
      <c r="C1672">
        <v>433.17</v>
      </c>
      <c r="D1672">
        <v>3</v>
      </c>
      <c r="E1672" s="2" t="s">
        <v>16</v>
      </c>
      <c r="F1672" s="2" t="s">
        <v>17</v>
      </c>
      <c r="G1672" s="2" t="s">
        <v>14</v>
      </c>
      <c r="H1672" s="2" t="s">
        <v>11</v>
      </c>
      <c r="I1672" s="2">
        <f t="shared" si="52"/>
        <v>709.93999999999983</v>
      </c>
      <c r="J1672" s="2">
        <f t="shared" si="53"/>
        <v>1.6389408315441969</v>
      </c>
    </row>
    <row r="1673" spans="1:10" x14ac:dyDescent="0.3">
      <c r="A1673" s="1">
        <v>45405</v>
      </c>
      <c r="B1673">
        <v>1443.93</v>
      </c>
      <c r="C1673">
        <v>58.46</v>
      </c>
      <c r="D1673">
        <v>6</v>
      </c>
      <c r="E1673" s="2" t="s">
        <v>13</v>
      </c>
      <c r="F1673" s="2" t="s">
        <v>17</v>
      </c>
      <c r="G1673" s="2" t="s">
        <v>14</v>
      </c>
      <c r="H1673" s="2" t="s">
        <v>11</v>
      </c>
      <c r="I1673" s="2">
        <f t="shared" si="52"/>
        <v>1385.47</v>
      </c>
      <c r="J1673" s="2">
        <f t="shared" si="53"/>
        <v>23.699452617174135</v>
      </c>
    </row>
    <row r="1674" spans="1:10" x14ac:dyDescent="0.3">
      <c r="A1674" s="1">
        <v>45332</v>
      </c>
      <c r="B1674">
        <v>773.84</v>
      </c>
      <c r="C1674">
        <v>342.82</v>
      </c>
      <c r="D1674">
        <v>5</v>
      </c>
      <c r="E1674" s="2" t="s">
        <v>16</v>
      </c>
      <c r="F1674" s="2" t="s">
        <v>9</v>
      </c>
      <c r="G1674" s="2" t="s">
        <v>19</v>
      </c>
      <c r="H1674" s="2" t="s">
        <v>15</v>
      </c>
      <c r="I1674" s="2">
        <f t="shared" si="52"/>
        <v>431.02000000000004</v>
      </c>
      <c r="J1674" s="2">
        <f t="shared" si="53"/>
        <v>1.2572778717694417</v>
      </c>
    </row>
    <row r="1675" spans="1:10" x14ac:dyDescent="0.3">
      <c r="A1675" s="1">
        <v>45400</v>
      </c>
      <c r="B1675">
        <v>1321.44</v>
      </c>
      <c r="C1675">
        <v>100.51</v>
      </c>
      <c r="D1675">
        <v>8</v>
      </c>
      <c r="E1675" s="2" t="s">
        <v>13</v>
      </c>
      <c r="F1675" s="2" t="s">
        <v>17</v>
      </c>
      <c r="G1675" s="2" t="s">
        <v>14</v>
      </c>
      <c r="H1675" s="2" t="s">
        <v>11</v>
      </c>
      <c r="I1675" s="2">
        <f t="shared" si="52"/>
        <v>1220.93</v>
      </c>
      <c r="J1675" s="2">
        <f t="shared" si="53"/>
        <v>12.14734852253507</v>
      </c>
    </row>
    <row r="1676" spans="1:10" x14ac:dyDescent="0.3">
      <c r="A1676" s="1">
        <v>45343</v>
      </c>
      <c r="B1676">
        <v>481.22</v>
      </c>
      <c r="C1676">
        <v>259.12</v>
      </c>
      <c r="D1676">
        <v>8</v>
      </c>
      <c r="E1676" s="2" t="s">
        <v>16</v>
      </c>
      <c r="F1676" s="2" t="s">
        <v>17</v>
      </c>
      <c r="G1676" s="2" t="s">
        <v>14</v>
      </c>
      <c r="H1676" s="2" t="s">
        <v>11</v>
      </c>
      <c r="I1676" s="2">
        <f t="shared" si="52"/>
        <v>222.10000000000002</v>
      </c>
      <c r="J1676" s="2">
        <f t="shared" si="53"/>
        <v>0.85713183081197908</v>
      </c>
    </row>
    <row r="1677" spans="1:10" x14ac:dyDescent="0.3">
      <c r="A1677" s="1">
        <v>45358</v>
      </c>
      <c r="B1677">
        <v>211.03</v>
      </c>
      <c r="C1677">
        <v>129.55000000000001</v>
      </c>
      <c r="D1677">
        <v>10</v>
      </c>
      <c r="E1677" s="2" t="s">
        <v>8</v>
      </c>
      <c r="F1677" s="2" t="s">
        <v>17</v>
      </c>
      <c r="G1677" s="2" t="s">
        <v>10</v>
      </c>
      <c r="H1677" s="2" t="s">
        <v>18</v>
      </c>
      <c r="I1677" s="2">
        <f t="shared" si="52"/>
        <v>81.47999999999999</v>
      </c>
      <c r="J1677" s="2">
        <f t="shared" si="53"/>
        <v>0.62894635275955213</v>
      </c>
    </row>
    <row r="1678" spans="1:10" x14ac:dyDescent="0.3">
      <c r="A1678" s="1">
        <v>45389</v>
      </c>
      <c r="B1678">
        <v>825.63</v>
      </c>
      <c r="C1678">
        <v>65.739999999999995</v>
      </c>
      <c r="D1678">
        <v>3</v>
      </c>
      <c r="E1678" s="2" t="s">
        <v>13</v>
      </c>
      <c r="F1678" s="2" t="s">
        <v>17</v>
      </c>
      <c r="G1678" s="2" t="s">
        <v>12</v>
      </c>
      <c r="H1678" s="2" t="s">
        <v>11</v>
      </c>
      <c r="I1678" s="2">
        <f t="shared" si="52"/>
        <v>759.89</v>
      </c>
      <c r="J1678" s="2">
        <f t="shared" si="53"/>
        <v>11.559020383328264</v>
      </c>
    </row>
    <row r="1679" spans="1:10" x14ac:dyDescent="0.3">
      <c r="A1679" s="1">
        <v>45353</v>
      </c>
      <c r="B1679">
        <v>1242.43</v>
      </c>
      <c r="C1679">
        <v>64.14</v>
      </c>
      <c r="D1679">
        <v>4</v>
      </c>
      <c r="E1679" s="2" t="s">
        <v>13</v>
      </c>
      <c r="F1679" s="2" t="s">
        <v>9</v>
      </c>
      <c r="G1679" s="2" t="s">
        <v>19</v>
      </c>
      <c r="H1679" s="2" t="s">
        <v>11</v>
      </c>
      <c r="I1679" s="2">
        <f t="shared" si="52"/>
        <v>1178.29</v>
      </c>
      <c r="J1679" s="2">
        <f t="shared" si="53"/>
        <v>18.370595572185842</v>
      </c>
    </row>
    <row r="1680" spans="1:10" x14ac:dyDescent="0.3">
      <c r="A1680" s="1">
        <v>45400</v>
      </c>
      <c r="B1680">
        <v>751.68</v>
      </c>
      <c r="C1680">
        <v>448.48</v>
      </c>
      <c r="D1680">
        <v>5</v>
      </c>
      <c r="E1680" s="2" t="s">
        <v>13</v>
      </c>
      <c r="F1680" s="2" t="s">
        <v>17</v>
      </c>
      <c r="G1680" s="2" t="s">
        <v>12</v>
      </c>
      <c r="H1680" s="2" t="s">
        <v>18</v>
      </c>
      <c r="I1680" s="2">
        <f t="shared" si="52"/>
        <v>303.19999999999993</v>
      </c>
      <c r="J1680" s="2">
        <f t="shared" si="53"/>
        <v>0.67606136282554385</v>
      </c>
    </row>
    <row r="1681" spans="1:10" x14ac:dyDescent="0.3">
      <c r="A1681" s="1">
        <v>45312</v>
      </c>
      <c r="B1681">
        <v>523.97</v>
      </c>
      <c r="C1681">
        <v>225.38</v>
      </c>
      <c r="D1681">
        <v>8</v>
      </c>
      <c r="E1681" s="2" t="s">
        <v>16</v>
      </c>
      <c r="F1681" s="2" t="s">
        <v>17</v>
      </c>
      <c r="G1681" s="2" t="s">
        <v>12</v>
      </c>
      <c r="H1681" s="2" t="s">
        <v>20</v>
      </c>
      <c r="I1681" s="2">
        <f t="shared" si="52"/>
        <v>298.59000000000003</v>
      </c>
      <c r="J1681" s="2">
        <f t="shared" si="53"/>
        <v>1.3248291773892982</v>
      </c>
    </row>
    <row r="1682" spans="1:10" x14ac:dyDescent="0.3">
      <c r="A1682" s="1">
        <v>45348</v>
      </c>
      <c r="B1682">
        <v>260.35000000000002</v>
      </c>
      <c r="C1682">
        <v>176.07</v>
      </c>
      <c r="D1682">
        <v>8</v>
      </c>
      <c r="E1682" s="2" t="s">
        <v>16</v>
      </c>
      <c r="F1682" s="2" t="s">
        <v>9</v>
      </c>
      <c r="G1682" s="2" t="s">
        <v>19</v>
      </c>
      <c r="H1682" s="2" t="s">
        <v>18</v>
      </c>
      <c r="I1682" s="2">
        <f t="shared" si="52"/>
        <v>84.28000000000003</v>
      </c>
      <c r="J1682" s="2">
        <f t="shared" si="53"/>
        <v>0.47867325495541563</v>
      </c>
    </row>
    <row r="1683" spans="1:10" x14ac:dyDescent="0.3">
      <c r="A1683" s="1">
        <v>45363</v>
      </c>
      <c r="B1683">
        <v>166.01</v>
      </c>
      <c r="C1683">
        <v>151.15</v>
      </c>
      <c r="D1683">
        <v>8</v>
      </c>
      <c r="E1683" s="2" t="s">
        <v>8</v>
      </c>
      <c r="F1683" s="2" t="s">
        <v>9</v>
      </c>
      <c r="G1683" s="2" t="s">
        <v>10</v>
      </c>
      <c r="H1683" s="2" t="s">
        <v>11</v>
      </c>
      <c r="I1683" s="2">
        <f t="shared" si="52"/>
        <v>14.859999999999985</v>
      </c>
      <c r="J1683" s="2">
        <f t="shared" si="53"/>
        <v>9.8312934171352853E-2</v>
      </c>
    </row>
    <row r="1684" spans="1:10" x14ac:dyDescent="0.3">
      <c r="A1684" s="1">
        <v>45293</v>
      </c>
      <c r="B1684">
        <v>228.84</v>
      </c>
      <c r="C1684">
        <v>331.42</v>
      </c>
      <c r="D1684">
        <v>2</v>
      </c>
      <c r="E1684" s="2" t="s">
        <v>8</v>
      </c>
      <c r="F1684" s="2" t="s">
        <v>17</v>
      </c>
      <c r="G1684" s="2" t="s">
        <v>14</v>
      </c>
      <c r="H1684" s="2" t="s">
        <v>11</v>
      </c>
      <c r="I1684" s="2">
        <f t="shared" si="52"/>
        <v>-102.58000000000001</v>
      </c>
      <c r="J1684" s="2">
        <f t="shared" si="53"/>
        <v>-0.30951662542996805</v>
      </c>
    </row>
    <row r="1685" spans="1:10" x14ac:dyDescent="0.3">
      <c r="A1685" s="1">
        <v>45397</v>
      </c>
      <c r="B1685">
        <v>1296.79</v>
      </c>
      <c r="C1685">
        <v>35.43</v>
      </c>
      <c r="D1685">
        <v>3</v>
      </c>
      <c r="E1685" s="2" t="s">
        <v>13</v>
      </c>
      <c r="F1685" s="2" t="s">
        <v>9</v>
      </c>
      <c r="G1685" s="2" t="s">
        <v>19</v>
      </c>
      <c r="H1685" s="2" t="s">
        <v>15</v>
      </c>
      <c r="I1685" s="2">
        <f t="shared" si="52"/>
        <v>1261.3599999999999</v>
      </c>
      <c r="J1685" s="2">
        <f t="shared" si="53"/>
        <v>35.601467682754723</v>
      </c>
    </row>
    <row r="1686" spans="1:10" x14ac:dyDescent="0.3">
      <c r="A1686" s="1">
        <v>45334</v>
      </c>
      <c r="B1686">
        <v>1158.0999999999999</v>
      </c>
      <c r="C1686">
        <v>158.88999999999999</v>
      </c>
      <c r="D1686">
        <v>1</v>
      </c>
      <c r="E1686" s="2" t="s">
        <v>8</v>
      </c>
      <c r="F1686" s="2" t="s">
        <v>9</v>
      </c>
      <c r="G1686" s="2" t="s">
        <v>12</v>
      </c>
      <c r="H1686" s="2" t="s">
        <v>18</v>
      </c>
      <c r="I1686" s="2">
        <f t="shared" si="52"/>
        <v>999.20999999999992</v>
      </c>
      <c r="J1686" s="2">
        <f t="shared" si="53"/>
        <v>6.2886902888790992</v>
      </c>
    </row>
    <row r="1687" spans="1:10" x14ac:dyDescent="0.3">
      <c r="A1687" s="1">
        <v>45340</v>
      </c>
      <c r="B1687">
        <v>1465.24</v>
      </c>
      <c r="C1687">
        <v>34.299999999999997</v>
      </c>
      <c r="D1687">
        <v>8</v>
      </c>
      <c r="E1687" s="2" t="s">
        <v>13</v>
      </c>
      <c r="F1687" s="2" t="s">
        <v>9</v>
      </c>
      <c r="G1687" s="2" t="s">
        <v>12</v>
      </c>
      <c r="H1687" s="2" t="s">
        <v>11</v>
      </c>
      <c r="I1687" s="2">
        <f t="shared" si="52"/>
        <v>1430.94</v>
      </c>
      <c r="J1687" s="2">
        <f t="shared" si="53"/>
        <v>41.718367346938777</v>
      </c>
    </row>
    <row r="1688" spans="1:10" x14ac:dyDescent="0.3">
      <c r="A1688" s="1">
        <v>45405</v>
      </c>
      <c r="B1688">
        <v>665.36</v>
      </c>
      <c r="C1688">
        <v>161.97</v>
      </c>
      <c r="D1688">
        <v>4</v>
      </c>
      <c r="E1688" s="2" t="s">
        <v>16</v>
      </c>
      <c r="F1688" s="2" t="s">
        <v>9</v>
      </c>
      <c r="G1688" s="2" t="s">
        <v>14</v>
      </c>
      <c r="H1688" s="2" t="s">
        <v>11</v>
      </c>
      <c r="I1688" s="2">
        <f t="shared" si="52"/>
        <v>503.39</v>
      </c>
      <c r="J1688" s="2">
        <f t="shared" si="53"/>
        <v>3.1079212199790085</v>
      </c>
    </row>
    <row r="1689" spans="1:10" x14ac:dyDescent="0.3">
      <c r="A1689" s="1">
        <v>45342</v>
      </c>
      <c r="B1689">
        <v>640.58000000000004</v>
      </c>
      <c r="C1689">
        <v>302.43</v>
      </c>
      <c r="D1689">
        <v>9</v>
      </c>
      <c r="E1689" s="2" t="s">
        <v>16</v>
      </c>
      <c r="F1689" s="2" t="s">
        <v>17</v>
      </c>
      <c r="G1689" s="2" t="s">
        <v>14</v>
      </c>
      <c r="H1689" s="2" t="s">
        <v>15</v>
      </c>
      <c r="I1689" s="2">
        <f t="shared" si="52"/>
        <v>338.15000000000003</v>
      </c>
      <c r="J1689" s="2">
        <f t="shared" si="53"/>
        <v>1.1181099758621831</v>
      </c>
    </row>
    <row r="1690" spans="1:10" x14ac:dyDescent="0.3">
      <c r="A1690" s="1">
        <v>45410</v>
      </c>
      <c r="B1690">
        <v>474.89</v>
      </c>
      <c r="C1690">
        <v>112.42</v>
      </c>
      <c r="D1690">
        <v>1</v>
      </c>
      <c r="E1690" s="2" t="s">
        <v>8</v>
      </c>
      <c r="F1690" s="2" t="s">
        <v>17</v>
      </c>
      <c r="G1690" s="2" t="s">
        <v>19</v>
      </c>
      <c r="H1690" s="2" t="s">
        <v>15</v>
      </c>
      <c r="I1690" s="2">
        <f t="shared" si="52"/>
        <v>362.46999999999997</v>
      </c>
      <c r="J1690" s="2">
        <f t="shared" si="53"/>
        <v>3.2242483543853404</v>
      </c>
    </row>
    <row r="1691" spans="1:10" x14ac:dyDescent="0.3">
      <c r="A1691" s="1">
        <v>45360</v>
      </c>
      <c r="B1691">
        <v>1463.67</v>
      </c>
      <c r="C1691">
        <v>291.95</v>
      </c>
      <c r="D1691">
        <v>7</v>
      </c>
      <c r="E1691" s="2" t="s">
        <v>13</v>
      </c>
      <c r="F1691" s="2" t="s">
        <v>17</v>
      </c>
      <c r="G1691" s="2" t="s">
        <v>19</v>
      </c>
      <c r="H1691" s="2" t="s">
        <v>18</v>
      </c>
      <c r="I1691" s="2">
        <f t="shared" si="52"/>
        <v>1171.72</v>
      </c>
      <c r="J1691" s="2">
        <f t="shared" si="53"/>
        <v>4.0134269566706626</v>
      </c>
    </row>
    <row r="1692" spans="1:10" x14ac:dyDescent="0.3">
      <c r="A1692" s="1">
        <v>45338</v>
      </c>
      <c r="B1692">
        <v>905.32</v>
      </c>
      <c r="C1692">
        <v>149.81</v>
      </c>
      <c r="D1692">
        <v>9</v>
      </c>
      <c r="E1692" s="2" t="s">
        <v>8</v>
      </c>
      <c r="F1692" s="2" t="s">
        <v>17</v>
      </c>
      <c r="G1692" s="2" t="s">
        <v>19</v>
      </c>
      <c r="H1692" s="2" t="s">
        <v>18</v>
      </c>
      <c r="I1692" s="2">
        <f t="shared" si="52"/>
        <v>755.51</v>
      </c>
      <c r="J1692" s="2">
        <f t="shared" si="53"/>
        <v>5.0431212869634869</v>
      </c>
    </row>
    <row r="1693" spans="1:10" x14ac:dyDescent="0.3">
      <c r="A1693" s="1">
        <v>45342</v>
      </c>
      <c r="B1693">
        <v>1152.4100000000001</v>
      </c>
      <c r="C1693">
        <v>402.05</v>
      </c>
      <c r="D1693">
        <v>9</v>
      </c>
      <c r="E1693" s="2" t="s">
        <v>13</v>
      </c>
      <c r="F1693" s="2" t="s">
        <v>17</v>
      </c>
      <c r="G1693" s="2" t="s">
        <v>19</v>
      </c>
      <c r="H1693" s="2" t="s">
        <v>15</v>
      </c>
      <c r="I1693" s="2">
        <f t="shared" si="52"/>
        <v>750.36000000000013</v>
      </c>
      <c r="J1693" s="2">
        <f t="shared" si="53"/>
        <v>1.8663350329561001</v>
      </c>
    </row>
    <row r="1694" spans="1:10" x14ac:dyDescent="0.3">
      <c r="A1694" s="1">
        <v>45315</v>
      </c>
      <c r="B1694">
        <v>735.41</v>
      </c>
      <c r="C1694">
        <v>287.8</v>
      </c>
      <c r="D1694">
        <v>10</v>
      </c>
      <c r="E1694" s="2" t="s">
        <v>16</v>
      </c>
      <c r="F1694" s="2" t="s">
        <v>9</v>
      </c>
      <c r="G1694" s="2" t="s">
        <v>14</v>
      </c>
      <c r="H1694" s="2" t="s">
        <v>20</v>
      </c>
      <c r="I1694" s="2">
        <f t="shared" si="52"/>
        <v>447.60999999999996</v>
      </c>
      <c r="J1694" s="2">
        <f t="shared" si="53"/>
        <v>1.5552814454482278</v>
      </c>
    </row>
    <row r="1695" spans="1:10" x14ac:dyDescent="0.3">
      <c r="A1695" s="1">
        <v>45410</v>
      </c>
      <c r="B1695">
        <v>687.71</v>
      </c>
      <c r="C1695">
        <v>227.55</v>
      </c>
      <c r="D1695">
        <v>4</v>
      </c>
      <c r="E1695" s="2" t="s">
        <v>16</v>
      </c>
      <c r="F1695" s="2" t="s">
        <v>9</v>
      </c>
      <c r="G1695" s="2" t="s">
        <v>12</v>
      </c>
      <c r="H1695" s="2" t="s">
        <v>11</v>
      </c>
      <c r="I1695" s="2">
        <f t="shared" si="52"/>
        <v>460.16</v>
      </c>
      <c r="J1695" s="2">
        <f t="shared" si="53"/>
        <v>2.0222368710173591</v>
      </c>
    </row>
    <row r="1696" spans="1:10" x14ac:dyDescent="0.3">
      <c r="A1696" s="1">
        <v>45311</v>
      </c>
      <c r="B1696">
        <v>1007.86</v>
      </c>
      <c r="C1696">
        <v>365.5</v>
      </c>
      <c r="D1696">
        <v>5</v>
      </c>
      <c r="E1696" s="2" t="s">
        <v>16</v>
      </c>
      <c r="F1696" s="2" t="s">
        <v>17</v>
      </c>
      <c r="G1696" s="2" t="s">
        <v>19</v>
      </c>
      <c r="H1696" s="2" t="s">
        <v>11</v>
      </c>
      <c r="I1696" s="2">
        <f t="shared" si="52"/>
        <v>642.36</v>
      </c>
      <c r="J1696" s="2">
        <f t="shared" si="53"/>
        <v>1.7574829001367989</v>
      </c>
    </row>
    <row r="1697" spans="1:10" x14ac:dyDescent="0.3">
      <c r="A1697" s="1">
        <v>45356</v>
      </c>
      <c r="B1697">
        <v>845.89</v>
      </c>
      <c r="C1697">
        <v>293.60000000000002</v>
      </c>
      <c r="D1697">
        <v>3</v>
      </c>
      <c r="E1697" s="2" t="s">
        <v>16</v>
      </c>
      <c r="F1697" s="2" t="s">
        <v>17</v>
      </c>
      <c r="G1697" s="2" t="s">
        <v>10</v>
      </c>
      <c r="H1697" s="2" t="s">
        <v>20</v>
      </c>
      <c r="I1697" s="2">
        <f t="shared" si="52"/>
        <v>552.29</v>
      </c>
      <c r="J1697" s="2">
        <f t="shared" si="53"/>
        <v>1.8810967302452313</v>
      </c>
    </row>
    <row r="1698" spans="1:10" x14ac:dyDescent="0.3">
      <c r="A1698" s="1">
        <v>45383</v>
      </c>
      <c r="B1698">
        <v>1498.95</v>
      </c>
      <c r="C1698">
        <v>254.29</v>
      </c>
      <c r="D1698">
        <v>0</v>
      </c>
      <c r="E1698" s="2" t="s">
        <v>8</v>
      </c>
      <c r="F1698" s="2" t="s">
        <v>17</v>
      </c>
      <c r="G1698" s="2" t="s">
        <v>12</v>
      </c>
      <c r="H1698" s="2" t="s">
        <v>20</v>
      </c>
      <c r="I1698" s="2">
        <f t="shared" si="52"/>
        <v>1244.6600000000001</v>
      </c>
      <c r="J1698" s="2">
        <f t="shared" si="53"/>
        <v>4.8946478430138827</v>
      </c>
    </row>
    <row r="1699" spans="1:10" x14ac:dyDescent="0.3">
      <c r="A1699" s="1">
        <v>45338</v>
      </c>
      <c r="B1699">
        <v>496.97</v>
      </c>
      <c r="C1699">
        <v>232.28</v>
      </c>
      <c r="D1699">
        <v>5</v>
      </c>
      <c r="E1699" s="2" t="s">
        <v>8</v>
      </c>
      <c r="F1699" s="2" t="s">
        <v>17</v>
      </c>
      <c r="G1699" s="2" t="s">
        <v>10</v>
      </c>
      <c r="H1699" s="2" t="s">
        <v>18</v>
      </c>
      <c r="I1699" s="2">
        <f t="shared" si="52"/>
        <v>264.69000000000005</v>
      </c>
      <c r="J1699" s="2">
        <f t="shared" si="53"/>
        <v>1.1395298777337699</v>
      </c>
    </row>
    <row r="1700" spans="1:10" x14ac:dyDescent="0.3">
      <c r="A1700" s="1">
        <v>45293</v>
      </c>
      <c r="B1700">
        <v>1265.03</v>
      </c>
      <c r="C1700">
        <v>410</v>
      </c>
      <c r="D1700">
        <v>1</v>
      </c>
      <c r="E1700" s="2" t="s">
        <v>16</v>
      </c>
      <c r="F1700" s="2" t="s">
        <v>17</v>
      </c>
      <c r="G1700" s="2" t="s">
        <v>12</v>
      </c>
      <c r="H1700" s="2" t="s">
        <v>20</v>
      </c>
      <c r="I1700" s="2">
        <f t="shared" si="52"/>
        <v>855.03</v>
      </c>
      <c r="J1700" s="2">
        <f t="shared" si="53"/>
        <v>2.0854390243902436</v>
      </c>
    </row>
    <row r="1701" spans="1:10" x14ac:dyDescent="0.3">
      <c r="A1701" s="1">
        <v>45356</v>
      </c>
      <c r="B1701">
        <v>1306.3</v>
      </c>
      <c r="C1701">
        <v>425.06</v>
      </c>
      <c r="D1701">
        <v>5</v>
      </c>
      <c r="E1701" s="2" t="s">
        <v>8</v>
      </c>
      <c r="F1701" s="2" t="s">
        <v>17</v>
      </c>
      <c r="G1701" s="2" t="s">
        <v>12</v>
      </c>
      <c r="H1701" s="2" t="s">
        <v>18</v>
      </c>
      <c r="I1701" s="2">
        <f t="shared" si="52"/>
        <v>881.24</v>
      </c>
      <c r="J1701" s="2">
        <f t="shared" si="53"/>
        <v>2.0732131934315157</v>
      </c>
    </row>
    <row r="1702" spans="1:10" x14ac:dyDescent="0.3">
      <c r="A1702" s="1">
        <v>45344</v>
      </c>
      <c r="B1702">
        <v>491.34</v>
      </c>
      <c r="C1702">
        <v>477.37</v>
      </c>
      <c r="D1702">
        <v>6</v>
      </c>
      <c r="E1702" s="2" t="s">
        <v>8</v>
      </c>
      <c r="F1702" s="2" t="s">
        <v>9</v>
      </c>
      <c r="G1702" s="2" t="s">
        <v>12</v>
      </c>
      <c r="H1702" s="2" t="s">
        <v>15</v>
      </c>
      <c r="I1702" s="2">
        <f t="shared" si="52"/>
        <v>13.96999999999997</v>
      </c>
      <c r="J1702" s="2">
        <f t="shared" si="53"/>
        <v>2.9264511804260783E-2</v>
      </c>
    </row>
    <row r="1703" spans="1:10" x14ac:dyDescent="0.3">
      <c r="A1703" s="1">
        <v>45318</v>
      </c>
      <c r="B1703">
        <v>1248.3</v>
      </c>
      <c r="C1703">
        <v>422.94</v>
      </c>
      <c r="D1703">
        <v>9</v>
      </c>
      <c r="E1703" s="2" t="s">
        <v>16</v>
      </c>
      <c r="F1703" s="2" t="s">
        <v>17</v>
      </c>
      <c r="G1703" s="2" t="s">
        <v>12</v>
      </c>
      <c r="H1703" s="2" t="s">
        <v>18</v>
      </c>
      <c r="I1703" s="2">
        <f t="shared" si="52"/>
        <v>825.3599999999999</v>
      </c>
      <c r="J1703" s="2">
        <f t="shared" si="53"/>
        <v>1.9514824797843664</v>
      </c>
    </row>
    <row r="1704" spans="1:10" x14ac:dyDescent="0.3">
      <c r="A1704" s="1">
        <v>45380</v>
      </c>
      <c r="B1704">
        <v>120.22</v>
      </c>
      <c r="C1704">
        <v>331.89</v>
      </c>
      <c r="D1704">
        <v>3</v>
      </c>
      <c r="E1704" s="2" t="s">
        <v>16</v>
      </c>
      <c r="F1704" s="2" t="s">
        <v>9</v>
      </c>
      <c r="G1704" s="2" t="s">
        <v>12</v>
      </c>
      <c r="H1704" s="2" t="s">
        <v>11</v>
      </c>
      <c r="I1704" s="2">
        <f t="shared" si="52"/>
        <v>-211.67</v>
      </c>
      <c r="J1704" s="2">
        <f t="shared" si="53"/>
        <v>-0.63777155081502901</v>
      </c>
    </row>
    <row r="1705" spans="1:10" x14ac:dyDescent="0.3">
      <c r="A1705" s="1">
        <v>45296</v>
      </c>
      <c r="B1705">
        <v>827.35</v>
      </c>
      <c r="C1705">
        <v>63.86</v>
      </c>
      <c r="D1705">
        <v>10</v>
      </c>
      <c r="E1705" s="2" t="s">
        <v>16</v>
      </c>
      <c r="F1705" s="2" t="s">
        <v>17</v>
      </c>
      <c r="G1705" s="2" t="s">
        <v>12</v>
      </c>
      <c r="H1705" s="2" t="s">
        <v>20</v>
      </c>
      <c r="I1705" s="2">
        <f t="shared" si="52"/>
        <v>763.49</v>
      </c>
      <c r="J1705" s="2">
        <f t="shared" si="53"/>
        <v>11.955684309426871</v>
      </c>
    </row>
    <row r="1706" spans="1:10" x14ac:dyDescent="0.3">
      <c r="A1706" s="1">
        <v>45373</v>
      </c>
      <c r="B1706">
        <v>1215.46</v>
      </c>
      <c r="C1706">
        <v>266.22000000000003</v>
      </c>
      <c r="D1706">
        <v>8</v>
      </c>
      <c r="E1706" s="2" t="s">
        <v>8</v>
      </c>
      <c r="F1706" s="2" t="s">
        <v>17</v>
      </c>
      <c r="G1706" s="2" t="s">
        <v>10</v>
      </c>
      <c r="H1706" s="2" t="s">
        <v>18</v>
      </c>
      <c r="I1706" s="2">
        <f t="shared" si="52"/>
        <v>949.24</v>
      </c>
      <c r="J1706" s="2">
        <f t="shared" si="53"/>
        <v>3.5656224175493949</v>
      </c>
    </row>
    <row r="1707" spans="1:10" x14ac:dyDescent="0.3">
      <c r="A1707" s="1">
        <v>45297</v>
      </c>
      <c r="B1707">
        <v>581.99</v>
      </c>
      <c r="C1707">
        <v>267.19</v>
      </c>
      <c r="D1707">
        <v>0</v>
      </c>
      <c r="E1707" s="2" t="s">
        <v>13</v>
      </c>
      <c r="F1707" s="2" t="s">
        <v>9</v>
      </c>
      <c r="G1707" s="2" t="s">
        <v>12</v>
      </c>
      <c r="H1707" s="2" t="s">
        <v>11</v>
      </c>
      <c r="I1707" s="2">
        <f t="shared" si="52"/>
        <v>314.8</v>
      </c>
      <c r="J1707" s="2">
        <f t="shared" si="53"/>
        <v>1.1781878064298814</v>
      </c>
    </row>
    <row r="1708" spans="1:10" x14ac:dyDescent="0.3">
      <c r="A1708" s="1">
        <v>45292</v>
      </c>
      <c r="B1708">
        <v>471.35</v>
      </c>
      <c r="C1708">
        <v>414.34</v>
      </c>
      <c r="D1708">
        <v>1</v>
      </c>
      <c r="E1708" s="2" t="s">
        <v>13</v>
      </c>
      <c r="F1708" s="2" t="s">
        <v>9</v>
      </c>
      <c r="G1708" s="2" t="s">
        <v>19</v>
      </c>
      <c r="H1708" s="2" t="s">
        <v>15</v>
      </c>
      <c r="I1708" s="2">
        <f t="shared" si="52"/>
        <v>57.010000000000048</v>
      </c>
      <c r="J1708" s="2">
        <f t="shared" si="53"/>
        <v>0.13759231548969458</v>
      </c>
    </row>
    <row r="1709" spans="1:10" x14ac:dyDescent="0.3">
      <c r="A1709" s="1">
        <v>45410</v>
      </c>
      <c r="B1709">
        <v>154.19</v>
      </c>
      <c r="C1709">
        <v>318.8</v>
      </c>
      <c r="D1709">
        <v>3</v>
      </c>
      <c r="E1709" s="2" t="s">
        <v>8</v>
      </c>
      <c r="F1709" s="2" t="s">
        <v>9</v>
      </c>
      <c r="G1709" s="2" t="s">
        <v>19</v>
      </c>
      <c r="H1709" s="2" t="s">
        <v>18</v>
      </c>
      <c r="I1709" s="2">
        <f t="shared" si="52"/>
        <v>-164.61</v>
      </c>
      <c r="J1709" s="2">
        <f t="shared" si="53"/>
        <v>-0.51634253450439149</v>
      </c>
    </row>
    <row r="1710" spans="1:10" x14ac:dyDescent="0.3">
      <c r="A1710" s="1">
        <v>45330</v>
      </c>
      <c r="B1710">
        <v>1197.93</v>
      </c>
      <c r="C1710">
        <v>407.77</v>
      </c>
      <c r="D1710">
        <v>4</v>
      </c>
      <c r="E1710" s="2" t="s">
        <v>8</v>
      </c>
      <c r="F1710" s="2" t="s">
        <v>9</v>
      </c>
      <c r="G1710" s="2" t="s">
        <v>19</v>
      </c>
      <c r="H1710" s="2" t="s">
        <v>11</v>
      </c>
      <c r="I1710" s="2">
        <f t="shared" si="52"/>
        <v>790.16000000000008</v>
      </c>
      <c r="J1710" s="2">
        <f t="shared" si="53"/>
        <v>1.9377590308262014</v>
      </c>
    </row>
    <row r="1711" spans="1:10" x14ac:dyDescent="0.3">
      <c r="A1711" s="1">
        <v>45300</v>
      </c>
      <c r="B1711">
        <v>1185.3</v>
      </c>
      <c r="C1711">
        <v>358.2</v>
      </c>
      <c r="D1711">
        <v>7</v>
      </c>
      <c r="E1711" s="2" t="s">
        <v>13</v>
      </c>
      <c r="F1711" s="2" t="s">
        <v>9</v>
      </c>
      <c r="G1711" s="2" t="s">
        <v>19</v>
      </c>
      <c r="H1711" s="2" t="s">
        <v>15</v>
      </c>
      <c r="I1711" s="2">
        <f t="shared" si="52"/>
        <v>827.09999999999991</v>
      </c>
      <c r="J1711" s="2">
        <f t="shared" si="53"/>
        <v>2.3090452261306531</v>
      </c>
    </row>
    <row r="1712" spans="1:10" x14ac:dyDescent="0.3">
      <c r="A1712" s="1">
        <v>45356</v>
      </c>
      <c r="B1712">
        <v>267.14</v>
      </c>
      <c r="C1712">
        <v>60.12</v>
      </c>
      <c r="D1712">
        <v>5</v>
      </c>
      <c r="E1712" s="2" t="s">
        <v>13</v>
      </c>
      <c r="F1712" s="2" t="s">
        <v>17</v>
      </c>
      <c r="G1712" s="2" t="s">
        <v>19</v>
      </c>
      <c r="H1712" s="2" t="s">
        <v>20</v>
      </c>
      <c r="I1712" s="2">
        <f t="shared" si="52"/>
        <v>207.01999999999998</v>
      </c>
      <c r="J1712" s="2">
        <f t="shared" si="53"/>
        <v>3.4434464404524285</v>
      </c>
    </row>
    <row r="1713" spans="1:10" x14ac:dyDescent="0.3">
      <c r="A1713" s="1">
        <v>45327</v>
      </c>
      <c r="B1713">
        <v>118.91</v>
      </c>
      <c r="C1713">
        <v>482.85</v>
      </c>
      <c r="D1713">
        <v>1</v>
      </c>
      <c r="E1713" s="2" t="s">
        <v>13</v>
      </c>
      <c r="F1713" s="2" t="s">
        <v>9</v>
      </c>
      <c r="G1713" s="2" t="s">
        <v>19</v>
      </c>
      <c r="H1713" s="2" t="s">
        <v>11</v>
      </c>
      <c r="I1713" s="2">
        <f t="shared" si="52"/>
        <v>-363.94000000000005</v>
      </c>
      <c r="J1713" s="2">
        <f t="shared" si="53"/>
        <v>-0.7537330433882159</v>
      </c>
    </row>
    <row r="1714" spans="1:10" x14ac:dyDescent="0.3">
      <c r="A1714" s="1">
        <v>45364</v>
      </c>
      <c r="B1714">
        <v>165.9</v>
      </c>
      <c r="C1714">
        <v>395.9</v>
      </c>
      <c r="D1714">
        <v>1</v>
      </c>
      <c r="E1714" s="2" t="s">
        <v>16</v>
      </c>
      <c r="F1714" s="2" t="s">
        <v>9</v>
      </c>
      <c r="G1714" s="2" t="s">
        <v>12</v>
      </c>
      <c r="H1714" s="2" t="s">
        <v>11</v>
      </c>
      <c r="I1714" s="2">
        <f t="shared" si="52"/>
        <v>-229.99999999999997</v>
      </c>
      <c r="J1714" s="2">
        <f t="shared" si="53"/>
        <v>-0.58095478656226318</v>
      </c>
    </row>
    <row r="1715" spans="1:10" x14ac:dyDescent="0.3">
      <c r="A1715" s="1">
        <v>45301</v>
      </c>
      <c r="B1715">
        <v>925.36</v>
      </c>
      <c r="C1715">
        <v>70</v>
      </c>
      <c r="D1715">
        <v>10</v>
      </c>
      <c r="E1715" s="2" t="s">
        <v>16</v>
      </c>
      <c r="F1715" s="2" t="s">
        <v>17</v>
      </c>
      <c r="G1715" s="2" t="s">
        <v>14</v>
      </c>
      <c r="H1715" s="2" t="s">
        <v>18</v>
      </c>
      <c r="I1715" s="2">
        <f t="shared" si="52"/>
        <v>855.36</v>
      </c>
      <c r="J1715" s="2">
        <f t="shared" si="53"/>
        <v>12.219428571428571</v>
      </c>
    </row>
    <row r="1716" spans="1:10" x14ac:dyDescent="0.3">
      <c r="A1716" s="1">
        <v>45410</v>
      </c>
      <c r="B1716">
        <v>534.88</v>
      </c>
      <c r="C1716">
        <v>60.88</v>
      </c>
      <c r="D1716">
        <v>1</v>
      </c>
      <c r="E1716" s="2" t="s">
        <v>8</v>
      </c>
      <c r="F1716" s="2" t="s">
        <v>17</v>
      </c>
      <c r="G1716" s="2" t="s">
        <v>14</v>
      </c>
      <c r="H1716" s="2" t="s">
        <v>11</v>
      </c>
      <c r="I1716" s="2">
        <f t="shared" si="52"/>
        <v>474</v>
      </c>
      <c r="J1716" s="2">
        <f t="shared" si="53"/>
        <v>7.7858081471747695</v>
      </c>
    </row>
    <row r="1717" spans="1:10" x14ac:dyDescent="0.3">
      <c r="A1717" s="1">
        <v>45386</v>
      </c>
      <c r="B1717">
        <v>751.86</v>
      </c>
      <c r="C1717">
        <v>31.08</v>
      </c>
      <c r="D1717">
        <v>3</v>
      </c>
      <c r="E1717" s="2" t="s">
        <v>8</v>
      </c>
      <c r="F1717" s="2" t="s">
        <v>9</v>
      </c>
      <c r="G1717" s="2" t="s">
        <v>19</v>
      </c>
      <c r="H1717" s="2" t="s">
        <v>20</v>
      </c>
      <c r="I1717" s="2">
        <f t="shared" si="52"/>
        <v>720.78</v>
      </c>
      <c r="J1717" s="2">
        <f t="shared" si="53"/>
        <v>23.191119691119692</v>
      </c>
    </row>
    <row r="1718" spans="1:10" x14ac:dyDescent="0.3">
      <c r="A1718" s="1">
        <v>45349</v>
      </c>
      <c r="B1718">
        <v>1295.51</v>
      </c>
      <c r="C1718">
        <v>107.02</v>
      </c>
      <c r="D1718">
        <v>6</v>
      </c>
      <c r="E1718" s="2" t="s">
        <v>8</v>
      </c>
      <c r="F1718" s="2" t="s">
        <v>17</v>
      </c>
      <c r="G1718" s="2" t="s">
        <v>19</v>
      </c>
      <c r="H1718" s="2" t="s">
        <v>15</v>
      </c>
      <c r="I1718" s="2">
        <f t="shared" si="52"/>
        <v>1188.49</v>
      </c>
      <c r="J1718" s="2">
        <f t="shared" si="53"/>
        <v>11.105307419173986</v>
      </c>
    </row>
    <row r="1719" spans="1:10" x14ac:dyDescent="0.3">
      <c r="A1719" s="1">
        <v>45356</v>
      </c>
      <c r="B1719">
        <v>1003.49</v>
      </c>
      <c r="C1719">
        <v>273.19</v>
      </c>
      <c r="D1719">
        <v>0</v>
      </c>
      <c r="E1719" s="2" t="s">
        <v>16</v>
      </c>
      <c r="F1719" s="2" t="s">
        <v>17</v>
      </c>
      <c r="G1719" s="2" t="s">
        <v>12</v>
      </c>
      <c r="H1719" s="2" t="s">
        <v>18</v>
      </c>
      <c r="I1719" s="2">
        <f t="shared" si="52"/>
        <v>730.3</v>
      </c>
      <c r="J1719" s="2">
        <f t="shared" si="53"/>
        <v>2.67323108459314</v>
      </c>
    </row>
    <row r="1720" spans="1:10" x14ac:dyDescent="0.3">
      <c r="A1720" s="1">
        <v>45315</v>
      </c>
      <c r="B1720">
        <v>1405.5</v>
      </c>
      <c r="C1720">
        <v>77.290000000000006</v>
      </c>
      <c r="D1720">
        <v>10</v>
      </c>
      <c r="E1720" s="2" t="s">
        <v>16</v>
      </c>
      <c r="F1720" s="2" t="s">
        <v>9</v>
      </c>
      <c r="G1720" s="2" t="s">
        <v>19</v>
      </c>
      <c r="H1720" s="2" t="s">
        <v>11</v>
      </c>
      <c r="I1720" s="2">
        <f t="shared" si="52"/>
        <v>1328.21</v>
      </c>
      <c r="J1720" s="2">
        <f t="shared" si="53"/>
        <v>17.184758700996248</v>
      </c>
    </row>
    <row r="1721" spans="1:10" x14ac:dyDescent="0.3">
      <c r="A1721" s="1">
        <v>45304</v>
      </c>
      <c r="B1721">
        <v>863.14</v>
      </c>
      <c r="C1721">
        <v>40.1</v>
      </c>
      <c r="D1721">
        <v>0</v>
      </c>
      <c r="E1721" s="2" t="s">
        <v>8</v>
      </c>
      <c r="F1721" s="2" t="s">
        <v>17</v>
      </c>
      <c r="G1721" s="2" t="s">
        <v>14</v>
      </c>
      <c r="H1721" s="2" t="s">
        <v>15</v>
      </c>
      <c r="I1721" s="2">
        <f t="shared" si="52"/>
        <v>823.04</v>
      </c>
      <c r="J1721" s="2">
        <f t="shared" si="53"/>
        <v>20.524688279301746</v>
      </c>
    </row>
    <row r="1722" spans="1:10" x14ac:dyDescent="0.3">
      <c r="A1722" s="1">
        <v>45315</v>
      </c>
      <c r="B1722">
        <v>643.24</v>
      </c>
      <c r="C1722">
        <v>47.93</v>
      </c>
      <c r="D1722">
        <v>3</v>
      </c>
      <c r="E1722" s="2" t="s">
        <v>16</v>
      </c>
      <c r="F1722" s="2" t="s">
        <v>9</v>
      </c>
      <c r="G1722" s="2" t="s">
        <v>10</v>
      </c>
      <c r="H1722" s="2" t="s">
        <v>18</v>
      </c>
      <c r="I1722" s="2">
        <f t="shared" si="52"/>
        <v>595.31000000000006</v>
      </c>
      <c r="J1722" s="2">
        <f t="shared" si="53"/>
        <v>12.420404756937202</v>
      </c>
    </row>
    <row r="1723" spans="1:10" x14ac:dyDescent="0.3">
      <c r="A1723" s="1">
        <v>45373</v>
      </c>
      <c r="B1723">
        <v>184.5</v>
      </c>
      <c r="C1723">
        <v>354.07</v>
      </c>
      <c r="D1723">
        <v>5</v>
      </c>
      <c r="E1723" s="2" t="s">
        <v>16</v>
      </c>
      <c r="F1723" s="2" t="s">
        <v>9</v>
      </c>
      <c r="G1723" s="2" t="s">
        <v>12</v>
      </c>
      <c r="H1723" s="2" t="s">
        <v>15</v>
      </c>
      <c r="I1723" s="2">
        <f t="shared" si="52"/>
        <v>-169.57</v>
      </c>
      <c r="J1723" s="2">
        <f t="shared" si="53"/>
        <v>-0.47891659841274326</v>
      </c>
    </row>
    <row r="1724" spans="1:10" x14ac:dyDescent="0.3">
      <c r="A1724" s="1">
        <v>45295</v>
      </c>
      <c r="B1724">
        <v>160.46</v>
      </c>
      <c r="C1724">
        <v>17.93</v>
      </c>
      <c r="D1724">
        <v>6</v>
      </c>
      <c r="E1724" s="2" t="s">
        <v>13</v>
      </c>
      <c r="F1724" s="2" t="s">
        <v>9</v>
      </c>
      <c r="G1724" s="2" t="s">
        <v>12</v>
      </c>
      <c r="H1724" s="2" t="s">
        <v>20</v>
      </c>
      <c r="I1724" s="2">
        <f t="shared" si="52"/>
        <v>142.53</v>
      </c>
      <c r="J1724" s="2">
        <f t="shared" si="53"/>
        <v>7.9492470719464583</v>
      </c>
    </row>
    <row r="1725" spans="1:10" x14ac:dyDescent="0.3">
      <c r="A1725" s="1">
        <v>45384</v>
      </c>
      <c r="B1725">
        <v>1160.44</v>
      </c>
      <c r="C1725">
        <v>368.88</v>
      </c>
      <c r="D1725">
        <v>1</v>
      </c>
      <c r="E1725" s="2" t="s">
        <v>16</v>
      </c>
      <c r="F1725" s="2" t="s">
        <v>17</v>
      </c>
      <c r="G1725" s="2" t="s">
        <v>10</v>
      </c>
      <c r="H1725" s="2" t="s">
        <v>15</v>
      </c>
      <c r="I1725" s="2">
        <f t="shared" si="52"/>
        <v>791.56000000000006</v>
      </c>
      <c r="J1725" s="2">
        <f t="shared" si="53"/>
        <v>2.1458468878768167</v>
      </c>
    </row>
    <row r="1726" spans="1:10" x14ac:dyDescent="0.3">
      <c r="A1726" s="1">
        <v>45314</v>
      </c>
      <c r="B1726">
        <v>119.89</v>
      </c>
      <c r="C1726">
        <v>12.39</v>
      </c>
      <c r="D1726">
        <v>10</v>
      </c>
      <c r="E1726" s="2" t="s">
        <v>16</v>
      </c>
      <c r="F1726" s="2" t="s">
        <v>17</v>
      </c>
      <c r="G1726" s="2" t="s">
        <v>14</v>
      </c>
      <c r="H1726" s="2" t="s">
        <v>15</v>
      </c>
      <c r="I1726" s="2">
        <f t="shared" si="52"/>
        <v>107.5</v>
      </c>
      <c r="J1726" s="2">
        <f t="shared" si="53"/>
        <v>8.6763518966908801</v>
      </c>
    </row>
    <row r="1727" spans="1:10" x14ac:dyDescent="0.3">
      <c r="A1727" s="1">
        <v>45292</v>
      </c>
      <c r="B1727">
        <v>1096.56</v>
      </c>
      <c r="C1727">
        <v>311.82</v>
      </c>
      <c r="D1727">
        <v>10</v>
      </c>
      <c r="E1727" s="2" t="s">
        <v>8</v>
      </c>
      <c r="F1727" s="2" t="s">
        <v>9</v>
      </c>
      <c r="G1727" s="2" t="s">
        <v>12</v>
      </c>
      <c r="H1727" s="2" t="s">
        <v>20</v>
      </c>
      <c r="I1727" s="2">
        <f t="shared" si="52"/>
        <v>784.74</v>
      </c>
      <c r="J1727" s="2">
        <f t="shared" si="53"/>
        <v>2.516644217817972</v>
      </c>
    </row>
    <row r="1728" spans="1:10" x14ac:dyDescent="0.3">
      <c r="A1728" s="1">
        <v>45375</v>
      </c>
      <c r="B1728">
        <v>1170.6500000000001</v>
      </c>
      <c r="C1728">
        <v>411.22</v>
      </c>
      <c r="D1728">
        <v>1</v>
      </c>
      <c r="E1728" s="2" t="s">
        <v>8</v>
      </c>
      <c r="F1728" s="2" t="s">
        <v>9</v>
      </c>
      <c r="G1728" s="2" t="s">
        <v>12</v>
      </c>
      <c r="H1728" s="2" t="s">
        <v>18</v>
      </c>
      <c r="I1728" s="2">
        <f t="shared" si="52"/>
        <v>759.43000000000006</v>
      </c>
      <c r="J1728" s="2">
        <f t="shared" si="53"/>
        <v>1.846773016876611</v>
      </c>
    </row>
    <row r="1729" spans="1:10" x14ac:dyDescent="0.3">
      <c r="A1729" s="1">
        <v>45365</v>
      </c>
      <c r="B1729">
        <v>691.46</v>
      </c>
      <c r="C1729">
        <v>174.09</v>
      </c>
      <c r="D1729">
        <v>9</v>
      </c>
      <c r="E1729" s="2" t="s">
        <v>16</v>
      </c>
      <c r="F1729" s="2" t="s">
        <v>9</v>
      </c>
      <c r="G1729" s="2" t="s">
        <v>19</v>
      </c>
      <c r="H1729" s="2" t="s">
        <v>11</v>
      </c>
      <c r="I1729" s="2">
        <f t="shared" si="52"/>
        <v>517.37</v>
      </c>
      <c r="J1729" s="2">
        <f t="shared" si="53"/>
        <v>2.9718536389223966</v>
      </c>
    </row>
    <row r="1730" spans="1:10" x14ac:dyDescent="0.3">
      <c r="A1730" s="1">
        <v>45348</v>
      </c>
      <c r="B1730">
        <v>1256.28</v>
      </c>
      <c r="C1730">
        <v>63.86</v>
      </c>
      <c r="D1730">
        <v>0</v>
      </c>
      <c r="E1730" s="2" t="s">
        <v>8</v>
      </c>
      <c r="F1730" s="2" t="s">
        <v>9</v>
      </c>
      <c r="G1730" s="2" t="s">
        <v>12</v>
      </c>
      <c r="H1730" s="2" t="s">
        <v>20</v>
      </c>
      <c r="I1730" s="2">
        <f t="shared" ref="I1730:I1793" si="54">B1730-C1730</f>
        <v>1192.42</v>
      </c>
      <c r="J1730" s="2">
        <f t="shared" ref="J1730:J1793" si="55">IF(C1730=0,0,I1730/C1730)</f>
        <v>18.672408393360477</v>
      </c>
    </row>
    <row r="1731" spans="1:10" x14ac:dyDescent="0.3">
      <c r="A1731" s="1">
        <v>45349</v>
      </c>
      <c r="B1731">
        <v>1255.71</v>
      </c>
      <c r="C1731">
        <v>460.87</v>
      </c>
      <c r="D1731">
        <v>9</v>
      </c>
      <c r="E1731" s="2" t="s">
        <v>16</v>
      </c>
      <c r="F1731" s="2" t="s">
        <v>9</v>
      </c>
      <c r="G1731" s="2" t="s">
        <v>19</v>
      </c>
      <c r="H1731" s="2" t="s">
        <v>18</v>
      </c>
      <c r="I1731" s="2">
        <f t="shared" si="54"/>
        <v>794.84</v>
      </c>
      <c r="J1731" s="2">
        <f t="shared" si="55"/>
        <v>1.7246512031592423</v>
      </c>
    </row>
    <row r="1732" spans="1:10" x14ac:dyDescent="0.3">
      <c r="A1732" s="1">
        <v>45318</v>
      </c>
      <c r="B1732">
        <v>578.74</v>
      </c>
      <c r="C1732">
        <v>133.24</v>
      </c>
      <c r="D1732">
        <v>10</v>
      </c>
      <c r="E1732" s="2" t="s">
        <v>13</v>
      </c>
      <c r="F1732" s="2" t="s">
        <v>17</v>
      </c>
      <c r="G1732" s="2" t="s">
        <v>19</v>
      </c>
      <c r="H1732" s="2" t="s">
        <v>11</v>
      </c>
      <c r="I1732" s="2">
        <f t="shared" si="54"/>
        <v>445.5</v>
      </c>
      <c r="J1732" s="2">
        <f t="shared" si="55"/>
        <v>3.3435905133593513</v>
      </c>
    </row>
    <row r="1733" spans="1:10" x14ac:dyDescent="0.3">
      <c r="A1733" s="1">
        <v>45367</v>
      </c>
      <c r="B1733">
        <v>1375.13</v>
      </c>
      <c r="C1733">
        <v>20.38</v>
      </c>
      <c r="D1733">
        <v>2</v>
      </c>
      <c r="E1733" s="2" t="s">
        <v>8</v>
      </c>
      <c r="F1733" s="2" t="s">
        <v>9</v>
      </c>
      <c r="G1733" s="2" t="s">
        <v>10</v>
      </c>
      <c r="H1733" s="2" t="s">
        <v>15</v>
      </c>
      <c r="I1733" s="2">
        <f t="shared" si="54"/>
        <v>1354.75</v>
      </c>
      <c r="J1733" s="2">
        <f t="shared" si="55"/>
        <v>66.474484789008841</v>
      </c>
    </row>
    <row r="1734" spans="1:10" x14ac:dyDescent="0.3">
      <c r="A1734" s="1">
        <v>45362</v>
      </c>
      <c r="B1734">
        <v>291.98</v>
      </c>
      <c r="C1734">
        <v>261.77999999999997</v>
      </c>
      <c r="D1734">
        <v>10</v>
      </c>
      <c r="E1734" s="2" t="s">
        <v>8</v>
      </c>
      <c r="F1734" s="2" t="s">
        <v>9</v>
      </c>
      <c r="G1734" s="2" t="s">
        <v>12</v>
      </c>
      <c r="H1734" s="2" t="s">
        <v>11</v>
      </c>
      <c r="I1734" s="2">
        <f t="shared" si="54"/>
        <v>30.200000000000045</v>
      </c>
      <c r="J1734" s="2">
        <f t="shared" si="55"/>
        <v>0.11536404614561864</v>
      </c>
    </row>
    <row r="1735" spans="1:10" x14ac:dyDescent="0.3">
      <c r="A1735" s="1">
        <v>45320</v>
      </c>
      <c r="B1735">
        <v>345.83</v>
      </c>
      <c r="C1735">
        <v>188.12</v>
      </c>
      <c r="D1735">
        <v>8</v>
      </c>
      <c r="E1735" s="2" t="s">
        <v>13</v>
      </c>
      <c r="F1735" s="2" t="s">
        <v>17</v>
      </c>
      <c r="G1735" s="2" t="s">
        <v>19</v>
      </c>
      <c r="H1735" s="2" t="s">
        <v>15</v>
      </c>
      <c r="I1735" s="2">
        <f t="shared" si="54"/>
        <v>157.70999999999998</v>
      </c>
      <c r="J1735" s="2">
        <f t="shared" si="55"/>
        <v>0.83834786306612785</v>
      </c>
    </row>
    <row r="1736" spans="1:10" x14ac:dyDescent="0.3">
      <c r="A1736" s="1">
        <v>45294</v>
      </c>
      <c r="B1736">
        <v>807.52</v>
      </c>
      <c r="C1736">
        <v>119.3</v>
      </c>
      <c r="D1736">
        <v>9</v>
      </c>
      <c r="E1736" s="2" t="s">
        <v>16</v>
      </c>
      <c r="F1736" s="2" t="s">
        <v>17</v>
      </c>
      <c r="G1736" s="2" t="s">
        <v>12</v>
      </c>
      <c r="H1736" s="2" t="s">
        <v>15</v>
      </c>
      <c r="I1736" s="2">
        <f t="shared" si="54"/>
        <v>688.22</v>
      </c>
      <c r="J1736" s="2">
        <f t="shared" si="55"/>
        <v>5.7688181056160941</v>
      </c>
    </row>
    <row r="1737" spans="1:10" x14ac:dyDescent="0.3">
      <c r="A1737" s="1">
        <v>45308</v>
      </c>
      <c r="B1737">
        <v>243.3</v>
      </c>
      <c r="C1737">
        <v>231.76</v>
      </c>
      <c r="D1737">
        <v>3</v>
      </c>
      <c r="E1737" s="2" t="s">
        <v>13</v>
      </c>
      <c r="F1737" s="2" t="s">
        <v>17</v>
      </c>
      <c r="G1737" s="2" t="s">
        <v>10</v>
      </c>
      <c r="H1737" s="2" t="s">
        <v>20</v>
      </c>
      <c r="I1737" s="2">
        <f t="shared" si="54"/>
        <v>11.54000000000002</v>
      </c>
      <c r="J1737" s="2">
        <f t="shared" si="55"/>
        <v>4.9792889195719801E-2</v>
      </c>
    </row>
    <row r="1738" spans="1:10" x14ac:dyDescent="0.3">
      <c r="A1738" s="1">
        <v>45293</v>
      </c>
      <c r="B1738">
        <v>630.01</v>
      </c>
      <c r="C1738">
        <v>295.02999999999997</v>
      </c>
      <c r="D1738">
        <v>7</v>
      </c>
      <c r="E1738" s="2" t="s">
        <v>8</v>
      </c>
      <c r="F1738" s="2" t="s">
        <v>9</v>
      </c>
      <c r="G1738" s="2" t="s">
        <v>19</v>
      </c>
      <c r="H1738" s="2" t="s">
        <v>18</v>
      </c>
      <c r="I1738" s="2">
        <f t="shared" si="54"/>
        <v>334.98</v>
      </c>
      <c r="J1738" s="2">
        <f t="shared" si="55"/>
        <v>1.1354099583093247</v>
      </c>
    </row>
    <row r="1739" spans="1:10" x14ac:dyDescent="0.3">
      <c r="A1739" s="1">
        <v>45394</v>
      </c>
      <c r="B1739">
        <v>869.6</v>
      </c>
      <c r="C1739">
        <v>474.72</v>
      </c>
      <c r="D1739">
        <v>4</v>
      </c>
      <c r="E1739" s="2" t="s">
        <v>13</v>
      </c>
      <c r="F1739" s="2" t="s">
        <v>9</v>
      </c>
      <c r="G1739" s="2" t="s">
        <v>14</v>
      </c>
      <c r="H1739" s="2" t="s">
        <v>11</v>
      </c>
      <c r="I1739" s="2">
        <f t="shared" si="54"/>
        <v>394.88</v>
      </c>
      <c r="J1739" s="2">
        <f t="shared" si="55"/>
        <v>0.83181664981462755</v>
      </c>
    </row>
    <row r="1740" spans="1:10" x14ac:dyDescent="0.3">
      <c r="A1740" s="1">
        <v>45293</v>
      </c>
      <c r="B1740">
        <v>810.63</v>
      </c>
      <c r="C1740">
        <v>352.99</v>
      </c>
      <c r="D1740">
        <v>10</v>
      </c>
      <c r="E1740" s="2" t="s">
        <v>16</v>
      </c>
      <c r="F1740" s="2" t="s">
        <v>9</v>
      </c>
      <c r="G1740" s="2" t="s">
        <v>14</v>
      </c>
      <c r="H1740" s="2" t="s">
        <v>11</v>
      </c>
      <c r="I1740" s="2">
        <f t="shared" si="54"/>
        <v>457.64</v>
      </c>
      <c r="J1740" s="2">
        <f t="shared" si="55"/>
        <v>1.2964673220204537</v>
      </c>
    </row>
    <row r="1741" spans="1:10" x14ac:dyDescent="0.3">
      <c r="A1741" s="1">
        <v>45348</v>
      </c>
      <c r="B1741">
        <v>1128.4000000000001</v>
      </c>
      <c r="C1741">
        <v>414.49</v>
      </c>
      <c r="D1741">
        <v>0</v>
      </c>
      <c r="E1741" s="2" t="s">
        <v>8</v>
      </c>
      <c r="F1741" s="2" t="s">
        <v>17</v>
      </c>
      <c r="G1741" s="2" t="s">
        <v>10</v>
      </c>
      <c r="H1741" s="2" t="s">
        <v>18</v>
      </c>
      <c r="I1741" s="2">
        <f t="shared" si="54"/>
        <v>713.91000000000008</v>
      </c>
      <c r="J1741" s="2">
        <f t="shared" si="55"/>
        <v>1.722381722116336</v>
      </c>
    </row>
    <row r="1742" spans="1:10" x14ac:dyDescent="0.3">
      <c r="A1742" s="1">
        <v>45364</v>
      </c>
      <c r="B1742">
        <v>776.05</v>
      </c>
      <c r="C1742">
        <v>142.9</v>
      </c>
      <c r="D1742">
        <v>7</v>
      </c>
      <c r="E1742" s="2" t="s">
        <v>13</v>
      </c>
      <c r="F1742" s="2" t="s">
        <v>9</v>
      </c>
      <c r="G1742" s="2" t="s">
        <v>19</v>
      </c>
      <c r="H1742" s="2" t="s">
        <v>20</v>
      </c>
      <c r="I1742" s="2">
        <f t="shared" si="54"/>
        <v>633.15</v>
      </c>
      <c r="J1742" s="2">
        <f t="shared" si="55"/>
        <v>4.4307207837648699</v>
      </c>
    </row>
    <row r="1743" spans="1:10" x14ac:dyDescent="0.3">
      <c r="A1743" s="1">
        <v>45398</v>
      </c>
      <c r="B1743">
        <v>965.02</v>
      </c>
      <c r="C1743">
        <v>256.27999999999997</v>
      </c>
      <c r="D1743">
        <v>10</v>
      </c>
      <c r="E1743" s="2" t="s">
        <v>16</v>
      </c>
      <c r="F1743" s="2" t="s">
        <v>9</v>
      </c>
      <c r="G1743" s="2" t="s">
        <v>19</v>
      </c>
      <c r="H1743" s="2" t="s">
        <v>15</v>
      </c>
      <c r="I1743" s="2">
        <f t="shared" si="54"/>
        <v>708.74</v>
      </c>
      <c r="J1743" s="2">
        <f t="shared" si="55"/>
        <v>2.7654908693616362</v>
      </c>
    </row>
    <row r="1744" spans="1:10" x14ac:dyDescent="0.3">
      <c r="A1744" s="1">
        <v>45336</v>
      </c>
      <c r="B1744">
        <v>1027.55</v>
      </c>
      <c r="C1744">
        <v>282.64</v>
      </c>
      <c r="D1744">
        <v>4</v>
      </c>
      <c r="E1744" s="2" t="s">
        <v>13</v>
      </c>
      <c r="F1744" s="2" t="s">
        <v>9</v>
      </c>
      <c r="G1744" s="2" t="s">
        <v>19</v>
      </c>
      <c r="H1744" s="2" t="s">
        <v>11</v>
      </c>
      <c r="I1744" s="2">
        <f t="shared" si="54"/>
        <v>744.91</v>
      </c>
      <c r="J1744" s="2">
        <f t="shared" si="55"/>
        <v>2.6355434474950465</v>
      </c>
    </row>
    <row r="1745" spans="1:10" x14ac:dyDescent="0.3">
      <c r="A1745" s="1">
        <v>45350</v>
      </c>
      <c r="B1745">
        <v>185.7</v>
      </c>
      <c r="C1745">
        <v>382.58</v>
      </c>
      <c r="D1745">
        <v>5</v>
      </c>
      <c r="E1745" s="2" t="s">
        <v>8</v>
      </c>
      <c r="F1745" s="2" t="s">
        <v>9</v>
      </c>
      <c r="G1745" s="2" t="s">
        <v>10</v>
      </c>
      <c r="H1745" s="2" t="s">
        <v>20</v>
      </c>
      <c r="I1745" s="2">
        <f t="shared" si="54"/>
        <v>-196.88</v>
      </c>
      <c r="J1745" s="2">
        <f t="shared" si="55"/>
        <v>-0.51461132312196145</v>
      </c>
    </row>
    <row r="1746" spans="1:10" x14ac:dyDescent="0.3">
      <c r="A1746" s="1">
        <v>45297</v>
      </c>
      <c r="B1746">
        <v>1184.8800000000001</v>
      </c>
      <c r="C1746">
        <v>479.76</v>
      </c>
      <c r="D1746">
        <v>1</v>
      </c>
      <c r="E1746" s="2" t="s">
        <v>13</v>
      </c>
      <c r="F1746" s="2" t="s">
        <v>17</v>
      </c>
      <c r="G1746" s="2" t="s">
        <v>10</v>
      </c>
      <c r="H1746" s="2" t="s">
        <v>18</v>
      </c>
      <c r="I1746" s="2">
        <f t="shared" si="54"/>
        <v>705.12000000000012</v>
      </c>
      <c r="J1746" s="2">
        <f t="shared" si="55"/>
        <v>1.4697348674337172</v>
      </c>
    </row>
    <row r="1747" spans="1:10" x14ac:dyDescent="0.3">
      <c r="A1747" s="1">
        <v>45348</v>
      </c>
      <c r="B1747">
        <v>74.84</v>
      </c>
      <c r="C1747">
        <v>363.55</v>
      </c>
      <c r="D1747">
        <v>10</v>
      </c>
      <c r="E1747" s="2" t="s">
        <v>16</v>
      </c>
      <c r="F1747" s="2" t="s">
        <v>17</v>
      </c>
      <c r="G1747" s="2" t="s">
        <v>19</v>
      </c>
      <c r="H1747" s="2" t="s">
        <v>11</v>
      </c>
      <c r="I1747" s="2">
        <f t="shared" si="54"/>
        <v>-288.71000000000004</v>
      </c>
      <c r="J1747" s="2">
        <f t="shared" si="55"/>
        <v>-0.79414110851327202</v>
      </c>
    </row>
    <row r="1748" spans="1:10" x14ac:dyDescent="0.3">
      <c r="A1748" s="1">
        <v>45302</v>
      </c>
      <c r="B1748">
        <v>1077.6300000000001</v>
      </c>
      <c r="C1748">
        <v>358.21</v>
      </c>
      <c r="D1748">
        <v>5</v>
      </c>
      <c r="E1748" s="2" t="s">
        <v>13</v>
      </c>
      <c r="F1748" s="2" t="s">
        <v>17</v>
      </c>
      <c r="G1748" s="2" t="s">
        <v>10</v>
      </c>
      <c r="H1748" s="2" t="s">
        <v>20</v>
      </c>
      <c r="I1748" s="2">
        <f t="shared" si="54"/>
        <v>719.42000000000007</v>
      </c>
      <c r="J1748" s="2">
        <f t="shared" si="55"/>
        <v>2.0083749755729881</v>
      </c>
    </row>
    <row r="1749" spans="1:10" x14ac:dyDescent="0.3">
      <c r="A1749" s="1">
        <v>45309</v>
      </c>
      <c r="B1749">
        <v>1394.15</v>
      </c>
      <c r="C1749">
        <v>181.37</v>
      </c>
      <c r="D1749">
        <v>2</v>
      </c>
      <c r="E1749" s="2" t="s">
        <v>16</v>
      </c>
      <c r="F1749" s="2" t="s">
        <v>17</v>
      </c>
      <c r="G1749" s="2" t="s">
        <v>10</v>
      </c>
      <c r="H1749" s="2" t="s">
        <v>20</v>
      </c>
      <c r="I1749" s="2">
        <f t="shared" si="54"/>
        <v>1212.7800000000002</v>
      </c>
      <c r="J1749" s="2">
        <f t="shared" si="55"/>
        <v>6.6867728951866363</v>
      </c>
    </row>
    <row r="1750" spans="1:10" x14ac:dyDescent="0.3">
      <c r="A1750" s="1">
        <v>45400</v>
      </c>
      <c r="B1750">
        <v>1440.15</v>
      </c>
      <c r="C1750">
        <v>485.04</v>
      </c>
      <c r="D1750">
        <v>7</v>
      </c>
      <c r="E1750" s="2" t="s">
        <v>16</v>
      </c>
      <c r="F1750" s="2" t="s">
        <v>17</v>
      </c>
      <c r="G1750" s="2" t="s">
        <v>19</v>
      </c>
      <c r="H1750" s="2" t="s">
        <v>18</v>
      </c>
      <c r="I1750" s="2">
        <f t="shared" si="54"/>
        <v>955.11000000000013</v>
      </c>
      <c r="J1750" s="2">
        <f t="shared" si="55"/>
        <v>1.969136566056408</v>
      </c>
    </row>
    <row r="1751" spans="1:10" x14ac:dyDescent="0.3">
      <c r="A1751" s="1">
        <v>45358</v>
      </c>
      <c r="B1751">
        <v>513.29</v>
      </c>
      <c r="C1751">
        <v>96.31</v>
      </c>
      <c r="D1751">
        <v>6</v>
      </c>
      <c r="E1751" s="2" t="s">
        <v>16</v>
      </c>
      <c r="F1751" s="2" t="s">
        <v>17</v>
      </c>
      <c r="G1751" s="2" t="s">
        <v>14</v>
      </c>
      <c r="H1751" s="2" t="s">
        <v>15</v>
      </c>
      <c r="I1751" s="2">
        <f t="shared" si="54"/>
        <v>416.97999999999996</v>
      </c>
      <c r="J1751" s="2">
        <f t="shared" si="55"/>
        <v>4.3295607932717264</v>
      </c>
    </row>
    <row r="1752" spans="1:10" x14ac:dyDescent="0.3">
      <c r="A1752" s="1">
        <v>45310</v>
      </c>
      <c r="B1752">
        <v>1216.8699999999999</v>
      </c>
      <c r="C1752">
        <v>476.93</v>
      </c>
      <c r="D1752">
        <v>4</v>
      </c>
      <c r="E1752" s="2" t="s">
        <v>8</v>
      </c>
      <c r="F1752" s="2" t="s">
        <v>9</v>
      </c>
      <c r="G1752" s="2" t="s">
        <v>19</v>
      </c>
      <c r="H1752" s="2" t="s">
        <v>20</v>
      </c>
      <c r="I1752" s="2">
        <f t="shared" si="54"/>
        <v>739.93999999999983</v>
      </c>
      <c r="J1752" s="2">
        <f t="shared" si="55"/>
        <v>1.551464575514226</v>
      </c>
    </row>
    <row r="1753" spans="1:10" x14ac:dyDescent="0.3">
      <c r="A1753" s="1">
        <v>45301</v>
      </c>
      <c r="B1753">
        <v>1471.59</v>
      </c>
      <c r="C1753">
        <v>293.48</v>
      </c>
      <c r="D1753">
        <v>5</v>
      </c>
      <c r="E1753" s="2" t="s">
        <v>8</v>
      </c>
      <c r="F1753" s="2" t="s">
        <v>9</v>
      </c>
      <c r="G1753" s="2" t="s">
        <v>19</v>
      </c>
      <c r="H1753" s="2" t="s">
        <v>15</v>
      </c>
      <c r="I1753" s="2">
        <f t="shared" si="54"/>
        <v>1178.1099999999999</v>
      </c>
      <c r="J1753" s="2">
        <f t="shared" si="55"/>
        <v>4.0142769524328736</v>
      </c>
    </row>
    <row r="1754" spans="1:10" x14ac:dyDescent="0.3">
      <c r="A1754" s="1">
        <v>45376</v>
      </c>
      <c r="B1754">
        <v>1499.83</v>
      </c>
      <c r="C1754">
        <v>392.74</v>
      </c>
      <c r="D1754">
        <v>3</v>
      </c>
      <c r="E1754" s="2" t="s">
        <v>16</v>
      </c>
      <c r="F1754" s="2" t="s">
        <v>9</v>
      </c>
      <c r="G1754" s="2" t="s">
        <v>10</v>
      </c>
      <c r="H1754" s="2" t="s">
        <v>20</v>
      </c>
      <c r="I1754" s="2">
        <f t="shared" si="54"/>
        <v>1107.0899999999999</v>
      </c>
      <c r="J1754" s="2">
        <f t="shared" si="55"/>
        <v>2.8188878138208482</v>
      </c>
    </row>
    <row r="1755" spans="1:10" x14ac:dyDescent="0.3">
      <c r="A1755" s="1">
        <v>45363</v>
      </c>
      <c r="B1755">
        <v>231.7</v>
      </c>
      <c r="C1755">
        <v>342.52</v>
      </c>
      <c r="D1755">
        <v>9</v>
      </c>
      <c r="E1755" s="2" t="s">
        <v>8</v>
      </c>
      <c r="F1755" s="2" t="s">
        <v>17</v>
      </c>
      <c r="G1755" s="2" t="s">
        <v>14</v>
      </c>
      <c r="H1755" s="2" t="s">
        <v>11</v>
      </c>
      <c r="I1755" s="2">
        <f t="shared" si="54"/>
        <v>-110.82</v>
      </c>
      <c r="J1755" s="2">
        <f t="shared" si="55"/>
        <v>-0.32354315076491885</v>
      </c>
    </row>
    <row r="1756" spans="1:10" x14ac:dyDescent="0.3">
      <c r="A1756" s="1">
        <v>45366</v>
      </c>
      <c r="B1756">
        <v>637.36</v>
      </c>
      <c r="C1756">
        <v>425.98</v>
      </c>
      <c r="D1756">
        <v>1</v>
      </c>
      <c r="E1756" s="2" t="s">
        <v>8</v>
      </c>
      <c r="F1756" s="2" t="s">
        <v>9</v>
      </c>
      <c r="G1756" s="2" t="s">
        <v>12</v>
      </c>
      <c r="H1756" s="2" t="s">
        <v>15</v>
      </c>
      <c r="I1756" s="2">
        <f t="shared" si="54"/>
        <v>211.38</v>
      </c>
      <c r="J1756" s="2">
        <f t="shared" si="55"/>
        <v>0.496220479834734</v>
      </c>
    </row>
    <row r="1757" spans="1:10" x14ac:dyDescent="0.3">
      <c r="A1757" s="1">
        <v>45389</v>
      </c>
      <c r="B1757">
        <v>846.17</v>
      </c>
      <c r="C1757">
        <v>153.12</v>
      </c>
      <c r="D1757">
        <v>6</v>
      </c>
      <c r="E1757" s="2" t="s">
        <v>8</v>
      </c>
      <c r="F1757" s="2" t="s">
        <v>17</v>
      </c>
      <c r="G1757" s="2" t="s">
        <v>12</v>
      </c>
      <c r="H1757" s="2" t="s">
        <v>15</v>
      </c>
      <c r="I1757" s="2">
        <f t="shared" si="54"/>
        <v>693.05</v>
      </c>
      <c r="J1757" s="2">
        <f t="shared" si="55"/>
        <v>4.5261886102403341</v>
      </c>
    </row>
    <row r="1758" spans="1:10" x14ac:dyDescent="0.3">
      <c r="A1758" s="1">
        <v>45379</v>
      </c>
      <c r="B1758">
        <v>546.73</v>
      </c>
      <c r="C1758">
        <v>72.709999999999994</v>
      </c>
      <c r="D1758">
        <v>1</v>
      </c>
      <c r="E1758" s="2" t="s">
        <v>16</v>
      </c>
      <c r="F1758" s="2" t="s">
        <v>17</v>
      </c>
      <c r="G1758" s="2" t="s">
        <v>12</v>
      </c>
      <c r="H1758" s="2" t="s">
        <v>20</v>
      </c>
      <c r="I1758" s="2">
        <f t="shared" si="54"/>
        <v>474.02000000000004</v>
      </c>
      <c r="J1758" s="2">
        <f t="shared" si="55"/>
        <v>6.5193233392930834</v>
      </c>
    </row>
    <row r="1759" spans="1:10" x14ac:dyDescent="0.3">
      <c r="A1759" s="1">
        <v>45310</v>
      </c>
      <c r="B1759">
        <v>479.77</v>
      </c>
      <c r="C1759">
        <v>25.37</v>
      </c>
      <c r="D1759">
        <v>0</v>
      </c>
      <c r="E1759" s="2" t="s">
        <v>13</v>
      </c>
      <c r="F1759" s="2" t="s">
        <v>17</v>
      </c>
      <c r="G1759" s="2" t="s">
        <v>12</v>
      </c>
      <c r="H1759" s="2" t="s">
        <v>20</v>
      </c>
      <c r="I1759" s="2">
        <f t="shared" si="54"/>
        <v>454.4</v>
      </c>
      <c r="J1759" s="2">
        <f t="shared" si="55"/>
        <v>17.910918407567991</v>
      </c>
    </row>
    <row r="1760" spans="1:10" x14ac:dyDescent="0.3">
      <c r="A1760" s="1">
        <v>45313</v>
      </c>
      <c r="B1760">
        <v>628.30999999999995</v>
      </c>
      <c r="C1760">
        <v>342.7</v>
      </c>
      <c r="D1760">
        <v>10</v>
      </c>
      <c r="E1760" s="2" t="s">
        <v>8</v>
      </c>
      <c r="F1760" s="2" t="s">
        <v>17</v>
      </c>
      <c r="G1760" s="2" t="s">
        <v>19</v>
      </c>
      <c r="H1760" s="2" t="s">
        <v>15</v>
      </c>
      <c r="I1760" s="2">
        <f t="shared" si="54"/>
        <v>285.60999999999996</v>
      </c>
      <c r="J1760" s="2">
        <f t="shared" si="55"/>
        <v>0.83341114677560535</v>
      </c>
    </row>
    <row r="1761" spans="1:10" x14ac:dyDescent="0.3">
      <c r="A1761" s="1">
        <v>45374</v>
      </c>
      <c r="B1761">
        <v>659.81</v>
      </c>
      <c r="C1761">
        <v>316.8</v>
      </c>
      <c r="D1761">
        <v>4</v>
      </c>
      <c r="E1761" s="2" t="s">
        <v>16</v>
      </c>
      <c r="F1761" s="2" t="s">
        <v>17</v>
      </c>
      <c r="G1761" s="2" t="s">
        <v>10</v>
      </c>
      <c r="H1761" s="2" t="s">
        <v>20</v>
      </c>
      <c r="I1761" s="2">
        <f t="shared" si="54"/>
        <v>343.00999999999993</v>
      </c>
      <c r="J1761" s="2">
        <f t="shared" si="55"/>
        <v>1.0827335858585856</v>
      </c>
    </row>
    <row r="1762" spans="1:10" x14ac:dyDescent="0.3">
      <c r="A1762" s="1">
        <v>45383</v>
      </c>
      <c r="B1762">
        <v>883.14</v>
      </c>
      <c r="C1762">
        <v>442.63</v>
      </c>
      <c r="D1762">
        <v>8</v>
      </c>
      <c r="E1762" s="2" t="s">
        <v>8</v>
      </c>
      <c r="F1762" s="2" t="s">
        <v>9</v>
      </c>
      <c r="G1762" s="2" t="s">
        <v>14</v>
      </c>
      <c r="H1762" s="2" t="s">
        <v>20</v>
      </c>
      <c r="I1762" s="2">
        <f t="shared" si="54"/>
        <v>440.51</v>
      </c>
      <c r="J1762" s="2">
        <f t="shared" si="55"/>
        <v>0.99521044664844227</v>
      </c>
    </row>
    <row r="1763" spans="1:10" x14ac:dyDescent="0.3">
      <c r="A1763" s="1">
        <v>45319</v>
      </c>
      <c r="B1763">
        <v>849.71</v>
      </c>
      <c r="C1763">
        <v>353.39</v>
      </c>
      <c r="D1763">
        <v>10</v>
      </c>
      <c r="E1763" s="2" t="s">
        <v>16</v>
      </c>
      <c r="F1763" s="2" t="s">
        <v>17</v>
      </c>
      <c r="G1763" s="2" t="s">
        <v>12</v>
      </c>
      <c r="H1763" s="2" t="s">
        <v>15</v>
      </c>
      <c r="I1763" s="2">
        <f t="shared" si="54"/>
        <v>496.32000000000005</v>
      </c>
      <c r="J1763" s="2">
        <f t="shared" si="55"/>
        <v>1.404454002659951</v>
      </c>
    </row>
    <row r="1764" spans="1:10" x14ac:dyDescent="0.3">
      <c r="A1764" s="1">
        <v>45303</v>
      </c>
      <c r="B1764">
        <v>852.57</v>
      </c>
      <c r="C1764">
        <v>341.47</v>
      </c>
      <c r="D1764">
        <v>7</v>
      </c>
      <c r="E1764" s="2" t="s">
        <v>13</v>
      </c>
      <c r="F1764" s="2" t="s">
        <v>9</v>
      </c>
      <c r="G1764" s="2" t="s">
        <v>19</v>
      </c>
      <c r="H1764" s="2" t="s">
        <v>18</v>
      </c>
      <c r="I1764" s="2">
        <f t="shared" si="54"/>
        <v>511.1</v>
      </c>
      <c r="J1764" s="2">
        <f t="shared" si="55"/>
        <v>1.496763990980174</v>
      </c>
    </row>
    <row r="1765" spans="1:10" x14ac:dyDescent="0.3">
      <c r="A1765" s="1">
        <v>45330</v>
      </c>
      <c r="B1765">
        <v>1497.55</v>
      </c>
      <c r="C1765">
        <v>185.43</v>
      </c>
      <c r="D1765">
        <v>10</v>
      </c>
      <c r="E1765" s="2" t="s">
        <v>16</v>
      </c>
      <c r="F1765" s="2" t="s">
        <v>9</v>
      </c>
      <c r="G1765" s="2" t="s">
        <v>19</v>
      </c>
      <c r="H1765" s="2" t="s">
        <v>18</v>
      </c>
      <c r="I1765" s="2">
        <f t="shared" si="54"/>
        <v>1312.12</v>
      </c>
      <c r="J1765" s="2">
        <f t="shared" si="55"/>
        <v>7.0760934045192245</v>
      </c>
    </row>
    <row r="1766" spans="1:10" x14ac:dyDescent="0.3">
      <c r="A1766" s="1">
        <v>45395</v>
      </c>
      <c r="B1766">
        <v>306.04000000000002</v>
      </c>
      <c r="C1766">
        <v>394.59</v>
      </c>
      <c r="D1766">
        <v>3</v>
      </c>
      <c r="E1766" s="2" t="s">
        <v>13</v>
      </c>
      <c r="F1766" s="2" t="s">
        <v>9</v>
      </c>
      <c r="G1766" s="2" t="s">
        <v>14</v>
      </c>
      <c r="H1766" s="2" t="s">
        <v>20</v>
      </c>
      <c r="I1766" s="2">
        <f t="shared" si="54"/>
        <v>-88.549999999999955</v>
      </c>
      <c r="J1766" s="2">
        <f t="shared" si="55"/>
        <v>-0.22441014724144037</v>
      </c>
    </row>
    <row r="1767" spans="1:10" x14ac:dyDescent="0.3">
      <c r="A1767" s="1">
        <v>45406</v>
      </c>
      <c r="B1767">
        <v>963.69</v>
      </c>
      <c r="C1767">
        <v>381.3</v>
      </c>
      <c r="D1767">
        <v>5</v>
      </c>
      <c r="E1767" s="2" t="s">
        <v>16</v>
      </c>
      <c r="F1767" s="2" t="s">
        <v>9</v>
      </c>
      <c r="G1767" s="2" t="s">
        <v>14</v>
      </c>
      <c r="H1767" s="2" t="s">
        <v>18</v>
      </c>
      <c r="I1767" s="2">
        <f t="shared" si="54"/>
        <v>582.3900000000001</v>
      </c>
      <c r="J1767" s="2">
        <f t="shared" si="55"/>
        <v>1.5273800157356414</v>
      </c>
    </row>
    <row r="1768" spans="1:10" x14ac:dyDescent="0.3">
      <c r="A1768" s="1">
        <v>45349</v>
      </c>
      <c r="B1768">
        <v>125.83</v>
      </c>
      <c r="C1768">
        <v>209.42</v>
      </c>
      <c r="D1768">
        <v>0</v>
      </c>
      <c r="E1768" s="2" t="s">
        <v>8</v>
      </c>
      <c r="F1768" s="2" t="s">
        <v>17</v>
      </c>
      <c r="G1768" s="2" t="s">
        <v>12</v>
      </c>
      <c r="H1768" s="2" t="s">
        <v>20</v>
      </c>
      <c r="I1768" s="2">
        <f t="shared" si="54"/>
        <v>-83.589999999999989</v>
      </c>
      <c r="J1768" s="2">
        <f t="shared" si="55"/>
        <v>-0.39915003342565175</v>
      </c>
    </row>
    <row r="1769" spans="1:10" x14ac:dyDescent="0.3">
      <c r="A1769" s="1">
        <v>45295</v>
      </c>
      <c r="B1769">
        <v>898.66</v>
      </c>
      <c r="C1769">
        <v>191.84</v>
      </c>
      <c r="D1769">
        <v>7</v>
      </c>
      <c r="E1769" s="2" t="s">
        <v>13</v>
      </c>
      <c r="F1769" s="2" t="s">
        <v>17</v>
      </c>
      <c r="G1769" s="2" t="s">
        <v>14</v>
      </c>
      <c r="H1769" s="2" t="s">
        <v>20</v>
      </c>
      <c r="I1769" s="2">
        <f t="shared" si="54"/>
        <v>706.81999999999994</v>
      </c>
      <c r="J1769" s="2">
        <f t="shared" si="55"/>
        <v>3.6844245204336943</v>
      </c>
    </row>
    <row r="1770" spans="1:10" x14ac:dyDescent="0.3">
      <c r="A1770" s="1">
        <v>45376</v>
      </c>
      <c r="B1770">
        <v>272.33999999999997</v>
      </c>
      <c r="C1770">
        <v>291.01</v>
      </c>
      <c r="D1770">
        <v>2</v>
      </c>
      <c r="E1770" s="2" t="s">
        <v>13</v>
      </c>
      <c r="F1770" s="2" t="s">
        <v>9</v>
      </c>
      <c r="G1770" s="2" t="s">
        <v>19</v>
      </c>
      <c r="H1770" s="2" t="s">
        <v>18</v>
      </c>
      <c r="I1770" s="2">
        <f t="shared" si="54"/>
        <v>-18.670000000000016</v>
      </c>
      <c r="J1770" s="2">
        <f t="shared" si="55"/>
        <v>-6.4155870932270431E-2</v>
      </c>
    </row>
    <row r="1771" spans="1:10" x14ac:dyDescent="0.3">
      <c r="A1771" s="1">
        <v>45355</v>
      </c>
      <c r="B1771">
        <v>285.89999999999998</v>
      </c>
      <c r="C1771">
        <v>256.8</v>
      </c>
      <c r="D1771">
        <v>7</v>
      </c>
      <c r="E1771" s="2" t="s">
        <v>8</v>
      </c>
      <c r="F1771" s="2" t="s">
        <v>17</v>
      </c>
      <c r="G1771" s="2" t="s">
        <v>10</v>
      </c>
      <c r="H1771" s="2" t="s">
        <v>20</v>
      </c>
      <c r="I1771" s="2">
        <f t="shared" si="54"/>
        <v>29.099999999999966</v>
      </c>
      <c r="J1771" s="2">
        <f t="shared" si="55"/>
        <v>0.11331775700934565</v>
      </c>
    </row>
    <row r="1772" spans="1:10" x14ac:dyDescent="0.3">
      <c r="A1772" s="1">
        <v>45395</v>
      </c>
      <c r="B1772">
        <v>258.95999999999998</v>
      </c>
      <c r="C1772">
        <v>93.51</v>
      </c>
      <c r="D1772">
        <v>9</v>
      </c>
      <c r="E1772" s="2" t="s">
        <v>16</v>
      </c>
      <c r="F1772" s="2" t="s">
        <v>17</v>
      </c>
      <c r="G1772" s="2" t="s">
        <v>19</v>
      </c>
      <c r="H1772" s="2" t="s">
        <v>20</v>
      </c>
      <c r="I1772" s="2">
        <f t="shared" si="54"/>
        <v>165.45</v>
      </c>
      <c r="J1772" s="2">
        <f t="shared" si="55"/>
        <v>1.7693294834777027</v>
      </c>
    </row>
    <row r="1773" spans="1:10" x14ac:dyDescent="0.3">
      <c r="A1773" s="1">
        <v>45391</v>
      </c>
      <c r="B1773">
        <v>251.97</v>
      </c>
      <c r="C1773">
        <v>12.71</v>
      </c>
      <c r="D1773">
        <v>7</v>
      </c>
      <c r="E1773" s="2" t="s">
        <v>16</v>
      </c>
      <c r="F1773" s="2" t="s">
        <v>17</v>
      </c>
      <c r="G1773" s="2" t="s">
        <v>10</v>
      </c>
      <c r="H1773" s="2" t="s">
        <v>18</v>
      </c>
      <c r="I1773" s="2">
        <f t="shared" si="54"/>
        <v>239.26</v>
      </c>
      <c r="J1773" s="2">
        <f t="shared" si="55"/>
        <v>18.824547600314713</v>
      </c>
    </row>
    <row r="1774" spans="1:10" x14ac:dyDescent="0.3">
      <c r="A1774" s="1">
        <v>45374</v>
      </c>
      <c r="B1774">
        <v>740.95</v>
      </c>
      <c r="C1774">
        <v>438.15</v>
      </c>
      <c r="D1774">
        <v>10</v>
      </c>
      <c r="E1774" s="2" t="s">
        <v>13</v>
      </c>
      <c r="F1774" s="2" t="s">
        <v>9</v>
      </c>
      <c r="G1774" s="2" t="s">
        <v>10</v>
      </c>
      <c r="H1774" s="2" t="s">
        <v>18</v>
      </c>
      <c r="I1774" s="2">
        <f t="shared" si="54"/>
        <v>302.80000000000007</v>
      </c>
      <c r="J1774" s="2">
        <f t="shared" si="55"/>
        <v>0.69108752710259058</v>
      </c>
    </row>
    <row r="1775" spans="1:10" x14ac:dyDescent="0.3">
      <c r="A1775" s="1">
        <v>45351</v>
      </c>
      <c r="B1775">
        <v>127.4</v>
      </c>
      <c r="C1775">
        <v>38.56</v>
      </c>
      <c r="D1775">
        <v>4</v>
      </c>
      <c r="E1775" s="2" t="s">
        <v>16</v>
      </c>
      <c r="F1775" s="2" t="s">
        <v>17</v>
      </c>
      <c r="G1775" s="2" t="s">
        <v>19</v>
      </c>
      <c r="H1775" s="2" t="s">
        <v>11</v>
      </c>
      <c r="I1775" s="2">
        <f t="shared" si="54"/>
        <v>88.84</v>
      </c>
      <c r="J1775" s="2">
        <f t="shared" si="55"/>
        <v>2.3039419087136928</v>
      </c>
    </row>
    <row r="1776" spans="1:10" x14ac:dyDescent="0.3">
      <c r="A1776" s="1">
        <v>45314</v>
      </c>
      <c r="B1776">
        <v>298.20999999999998</v>
      </c>
      <c r="C1776">
        <v>358.9</v>
      </c>
      <c r="D1776">
        <v>5</v>
      </c>
      <c r="E1776" s="2" t="s">
        <v>8</v>
      </c>
      <c r="F1776" s="2" t="s">
        <v>17</v>
      </c>
      <c r="G1776" s="2" t="s">
        <v>14</v>
      </c>
      <c r="H1776" s="2" t="s">
        <v>20</v>
      </c>
      <c r="I1776" s="2">
        <f t="shared" si="54"/>
        <v>-60.69</v>
      </c>
      <c r="J1776" s="2">
        <f t="shared" si="55"/>
        <v>-0.16910002786291448</v>
      </c>
    </row>
    <row r="1777" spans="1:10" x14ac:dyDescent="0.3">
      <c r="A1777" s="1">
        <v>45381</v>
      </c>
      <c r="B1777">
        <v>143.47</v>
      </c>
      <c r="C1777">
        <v>488.28</v>
      </c>
      <c r="D1777">
        <v>4</v>
      </c>
      <c r="E1777" s="2" t="s">
        <v>16</v>
      </c>
      <c r="F1777" s="2" t="s">
        <v>17</v>
      </c>
      <c r="G1777" s="2" t="s">
        <v>19</v>
      </c>
      <c r="H1777" s="2" t="s">
        <v>20</v>
      </c>
      <c r="I1777" s="2">
        <f t="shared" si="54"/>
        <v>-344.80999999999995</v>
      </c>
      <c r="J1777" s="2">
        <f t="shared" si="55"/>
        <v>-0.70617268780208076</v>
      </c>
    </row>
    <row r="1778" spans="1:10" x14ac:dyDescent="0.3">
      <c r="A1778" s="1">
        <v>45369</v>
      </c>
      <c r="B1778">
        <v>1087.9000000000001</v>
      </c>
      <c r="C1778">
        <v>338.45</v>
      </c>
      <c r="D1778">
        <v>4</v>
      </c>
      <c r="E1778" s="2" t="s">
        <v>16</v>
      </c>
      <c r="F1778" s="2" t="s">
        <v>9</v>
      </c>
      <c r="G1778" s="2" t="s">
        <v>19</v>
      </c>
      <c r="H1778" s="2" t="s">
        <v>15</v>
      </c>
      <c r="I1778" s="2">
        <f t="shared" si="54"/>
        <v>749.45</v>
      </c>
      <c r="J1778" s="2">
        <f t="shared" si="55"/>
        <v>2.2143595804402425</v>
      </c>
    </row>
    <row r="1779" spans="1:10" x14ac:dyDescent="0.3">
      <c r="A1779" s="1">
        <v>45342</v>
      </c>
      <c r="B1779">
        <v>213.08</v>
      </c>
      <c r="C1779">
        <v>273.68</v>
      </c>
      <c r="D1779">
        <v>2</v>
      </c>
      <c r="E1779" s="2" t="s">
        <v>13</v>
      </c>
      <c r="F1779" s="2" t="s">
        <v>17</v>
      </c>
      <c r="G1779" s="2" t="s">
        <v>12</v>
      </c>
      <c r="H1779" s="2" t="s">
        <v>18</v>
      </c>
      <c r="I1779" s="2">
        <f t="shared" si="54"/>
        <v>-60.599999999999994</v>
      </c>
      <c r="J1779" s="2">
        <f t="shared" si="55"/>
        <v>-0.22142648348436128</v>
      </c>
    </row>
    <row r="1780" spans="1:10" x14ac:dyDescent="0.3">
      <c r="A1780" s="1">
        <v>45371</v>
      </c>
      <c r="B1780">
        <v>578.78</v>
      </c>
      <c r="C1780">
        <v>150.83000000000001</v>
      </c>
      <c r="D1780">
        <v>0</v>
      </c>
      <c r="E1780" s="2" t="s">
        <v>8</v>
      </c>
      <c r="F1780" s="2" t="s">
        <v>9</v>
      </c>
      <c r="G1780" s="2" t="s">
        <v>12</v>
      </c>
      <c r="H1780" s="2" t="s">
        <v>20</v>
      </c>
      <c r="I1780" s="2">
        <f t="shared" si="54"/>
        <v>427.94999999999993</v>
      </c>
      <c r="J1780" s="2">
        <f t="shared" si="55"/>
        <v>2.8373002718292111</v>
      </c>
    </row>
    <row r="1781" spans="1:10" x14ac:dyDescent="0.3">
      <c r="A1781" s="1">
        <v>45352</v>
      </c>
      <c r="B1781">
        <v>842.94</v>
      </c>
      <c r="C1781">
        <v>178.04</v>
      </c>
      <c r="D1781">
        <v>6</v>
      </c>
      <c r="E1781" s="2" t="s">
        <v>16</v>
      </c>
      <c r="F1781" s="2" t="s">
        <v>9</v>
      </c>
      <c r="G1781" s="2" t="s">
        <v>10</v>
      </c>
      <c r="H1781" s="2" t="s">
        <v>20</v>
      </c>
      <c r="I1781" s="2">
        <f t="shared" si="54"/>
        <v>664.90000000000009</v>
      </c>
      <c r="J1781" s="2">
        <f t="shared" si="55"/>
        <v>3.7345540328016185</v>
      </c>
    </row>
    <row r="1782" spans="1:10" x14ac:dyDescent="0.3">
      <c r="A1782" s="1">
        <v>45398</v>
      </c>
      <c r="B1782">
        <v>150.58000000000001</v>
      </c>
      <c r="C1782">
        <v>400.14</v>
      </c>
      <c r="D1782">
        <v>4</v>
      </c>
      <c r="E1782" s="2" t="s">
        <v>16</v>
      </c>
      <c r="F1782" s="2" t="s">
        <v>9</v>
      </c>
      <c r="G1782" s="2" t="s">
        <v>10</v>
      </c>
      <c r="H1782" s="2" t="s">
        <v>18</v>
      </c>
      <c r="I1782" s="2">
        <f t="shared" si="54"/>
        <v>-249.55999999999997</v>
      </c>
      <c r="J1782" s="2">
        <f t="shared" si="55"/>
        <v>-0.62368171140100959</v>
      </c>
    </row>
    <row r="1783" spans="1:10" x14ac:dyDescent="0.3">
      <c r="A1783" s="1">
        <v>45399</v>
      </c>
      <c r="B1783">
        <v>184.39</v>
      </c>
      <c r="C1783">
        <v>493.4</v>
      </c>
      <c r="D1783">
        <v>1</v>
      </c>
      <c r="E1783" s="2" t="s">
        <v>13</v>
      </c>
      <c r="F1783" s="2" t="s">
        <v>9</v>
      </c>
      <c r="G1783" s="2" t="s">
        <v>14</v>
      </c>
      <c r="H1783" s="2" t="s">
        <v>20</v>
      </c>
      <c r="I1783" s="2">
        <f t="shared" si="54"/>
        <v>-309.01</v>
      </c>
      <c r="J1783" s="2">
        <f t="shared" si="55"/>
        <v>-0.62628698824483175</v>
      </c>
    </row>
    <row r="1784" spans="1:10" x14ac:dyDescent="0.3">
      <c r="A1784" s="1">
        <v>45337</v>
      </c>
      <c r="B1784">
        <v>790.7</v>
      </c>
      <c r="C1784">
        <v>161.5</v>
      </c>
      <c r="D1784">
        <v>8</v>
      </c>
      <c r="E1784" s="2" t="s">
        <v>16</v>
      </c>
      <c r="F1784" s="2" t="s">
        <v>17</v>
      </c>
      <c r="G1784" s="2" t="s">
        <v>19</v>
      </c>
      <c r="H1784" s="2" t="s">
        <v>18</v>
      </c>
      <c r="I1784" s="2">
        <f t="shared" si="54"/>
        <v>629.20000000000005</v>
      </c>
      <c r="J1784" s="2">
        <f t="shared" si="55"/>
        <v>3.8959752321981429</v>
      </c>
    </row>
    <row r="1785" spans="1:10" x14ac:dyDescent="0.3">
      <c r="A1785" s="1">
        <v>45320</v>
      </c>
      <c r="B1785">
        <v>157.38999999999999</v>
      </c>
      <c r="C1785">
        <v>116.97</v>
      </c>
      <c r="D1785">
        <v>3</v>
      </c>
      <c r="E1785" s="2" t="s">
        <v>8</v>
      </c>
      <c r="F1785" s="2" t="s">
        <v>17</v>
      </c>
      <c r="G1785" s="2" t="s">
        <v>10</v>
      </c>
      <c r="H1785" s="2" t="s">
        <v>15</v>
      </c>
      <c r="I1785" s="2">
        <f t="shared" si="54"/>
        <v>40.419999999999987</v>
      </c>
      <c r="J1785" s="2">
        <f t="shared" si="55"/>
        <v>0.34555869026246033</v>
      </c>
    </row>
    <row r="1786" spans="1:10" x14ac:dyDescent="0.3">
      <c r="A1786" s="1">
        <v>45308</v>
      </c>
      <c r="B1786">
        <v>1447.15</v>
      </c>
      <c r="C1786">
        <v>10.28</v>
      </c>
      <c r="D1786">
        <v>4</v>
      </c>
      <c r="E1786" s="2" t="s">
        <v>16</v>
      </c>
      <c r="F1786" s="2" t="s">
        <v>9</v>
      </c>
      <c r="G1786" s="2" t="s">
        <v>19</v>
      </c>
      <c r="H1786" s="2" t="s">
        <v>20</v>
      </c>
      <c r="I1786" s="2">
        <f t="shared" si="54"/>
        <v>1436.8700000000001</v>
      </c>
      <c r="J1786" s="2">
        <f t="shared" si="55"/>
        <v>139.77334630350197</v>
      </c>
    </row>
    <row r="1787" spans="1:10" x14ac:dyDescent="0.3">
      <c r="A1787" s="1">
        <v>45367</v>
      </c>
      <c r="B1787">
        <v>205.87</v>
      </c>
      <c r="C1787">
        <v>269.19</v>
      </c>
      <c r="D1787">
        <v>6</v>
      </c>
      <c r="E1787" s="2" t="s">
        <v>16</v>
      </c>
      <c r="F1787" s="2" t="s">
        <v>17</v>
      </c>
      <c r="G1787" s="2" t="s">
        <v>19</v>
      </c>
      <c r="H1787" s="2" t="s">
        <v>15</v>
      </c>
      <c r="I1787" s="2">
        <f t="shared" si="54"/>
        <v>-63.319999999999993</v>
      </c>
      <c r="J1787" s="2">
        <f t="shared" si="55"/>
        <v>-0.23522419109179388</v>
      </c>
    </row>
    <row r="1788" spans="1:10" x14ac:dyDescent="0.3">
      <c r="A1788" s="1">
        <v>45407</v>
      </c>
      <c r="B1788">
        <v>64.36</v>
      </c>
      <c r="C1788">
        <v>376.79</v>
      </c>
      <c r="D1788">
        <v>3</v>
      </c>
      <c r="E1788" s="2" t="s">
        <v>13</v>
      </c>
      <c r="F1788" s="2" t="s">
        <v>9</v>
      </c>
      <c r="G1788" s="2" t="s">
        <v>12</v>
      </c>
      <c r="H1788" s="2" t="s">
        <v>15</v>
      </c>
      <c r="I1788" s="2">
        <f t="shared" si="54"/>
        <v>-312.43</v>
      </c>
      <c r="J1788" s="2">
        <f t="shared" si="55"/>
        <v>-0.82918867273547592</v>
      </c>
    </row>
    <row r="1789" spans="1:10" x14ac:dyDescent="0.3">
      <c r="A1789" s="1">
        <v>45301</v>
      </c>
      <c r="B1789">
        <v>1347.83</v>
      </c>
      <c r="C1789">
        <v>118.18</v>
      </c>
      <c r="D1789">
        <v>3</v>
      </c>
      <c r="E1789" s="2" t="s">
        <v>13</v>
      </c>
      <c r="F1789" s="2" t="s">
        <v>9</v>
      </c>
      <c r="G1789" s="2" t="s">
        <v>19</v>
      </c>
      <c r="H1789" s="2" t="s">
        <v>11</v>
      </c>
      <c r="I1789" s="2">
        <f t="shared" si="54"/>
        <v>1229.6499999999999</v>
      </c>
      <c r="J1789" s="2">
        <f t="shared" si="55"/>
        <v>10.404890844474529</v>
      </c>
    </row>
    <row r="1790" spans="1:10" x14ac:dyDescent="0.3">
      <c r="A1790" s="1">
        <v>45307</v>
      </c>
      <c r="B1790">
        <v>274.37</v>
      </c>
      <c r="C1790">
        <v>316.47000000000003</v>
      </c>
      <c r="D1790">
        <v>4</v>
      </c>
      <c r="E1790" s="2" t="s">
        <v>8</v>
      </c>
      <c r="F1790" s="2" t="s">
        <v>17</v>
      </c>
      <c r="G1790" s="2" t="s">
        <v>10</v>
      </c>
      <c r="H1790" s="2" t="s">
        <v>11</v>
      </c>
      <c r="I1790" s="2">
        <f t="shared" si="54"/>
        <v>-42.100000000000023</v>
      </c>
      <c r="J1790" s="2">
        <f t="shared" si="55"/>
        <v>-0.13302998704458566</v>
      </c>
    </row>
    <row r="1791" spans="1:10" x14ac:dyDescent="0.3">
      <c r="A1791" s="1">
        <v>45328</v>
      </c>
      <c r="B1791">
        <v>447.98</v>
      </c>
      <c r="C1791">
        <v>55.43</v>
      </c>
      <c r="D1791">
        <v>1</v>
      </c>
      <c r="E1791" s="2" t="s">
        <v>16</v>
      </c>
      <c r="F1791" s="2" t="s">
        <v>17</v>
      </c>
      <c r="G1791" s="2" t="s">
        <v>14</v>
      </c>
      <c r="H1791" s="2" t="s">
        <v>18</v>
      </c>
      <c r="I1791" s="2">
        <f t="shared" si="54"/>
        <v>392.55</v>
      </c>
      <c r="J1791" s="2">
        <f t="shared" si="55"/>
        <v>7.0819051055385174</v>
      </c>
    </row>
    <row r="1792" spans="1:10" x14ac:dyDescent="0.3">
      <c r="A1792" s="1">
        <v>45328</v>
      </c>
      <c r="B1792">
        <v>521.37</v>
      </c>
      <c r="C1792">
        <v>404.57</v>
      </c>
      <c r="D1792">
        <v>6</v>
      </c>
      <c r="E1792" s="2" t="s">
        <v>16</v>
      </c>
      <c r="F1792" s="2" t="s">
        <v>17</v>
      </c>
      <c r="G1792" s="2" t="s">
        <v>14</v>
      </c>
      <c r="H1792" s="2" t="s">
        <v>11</v>
      </c>
      <c r="I1792" s="2">
        <f t="shared" si="54"/>
        <v>116.80000000000001</v>
      </c>
      <c r="J1792" s="2">
        <f t="shared" si="55"/>
        <v>0.28870158439825</v>
      </c>
    </row>
    <row r="1793" spans="1:10" x14ac:dyDescent="0.3">
      <c r="A1793" s="1">
        <v>45347</v>
      </c>
      <c r="B1793">
        <v>617.79999999999995</v>
      </c>
      <c r="C1793">
        <v>362.82</v>
      </c>
      <c r="D1793">
        <v>4</v>
      </c>
      <c r="E1793" s="2" t="s">
        <v>8</v>
      </c>
      <c r="F1793" s="2" t="s">
        <v>17</v>
      </c>
      <c r="G1793" s="2" t="s">
        <v>14</v>
      </c>
      <c r="H1793" s="2" t="s">
        <v>15</v>
      </c>
      <c r="I1793" s="2">
        <f t="shared" si="54"/>
        <v>254.97999999999996</v>
      </c>
      <c r="J1793" s="2">
        <f t="shared" si="55"/>
        <v>0.70277272476710206</v>
      </c>
    </row>
    <row r="1794" spans="1:10" x14ac:dyDescent="0.3">
      <c r="A1794" s="1">
        <v>45359</v>
      </c>
      <c r="B1794">
        <v>1107.8499999999999</v>
      </c>
      <c r="C1794">
        <v>410.85</v>
      </c>
      <c r="D1794">
        <v>0</v>
      </c>
      <c r="E1794" s="2" t="s">
        <v>16</v>
      </c>
      <c r="F1794" s="2" t="s">
        <v>9</v>
      </c>
      <c r="G1794" s="2" t="s">
        <v>10</v>
      </c>
      <c r="H1794" s="2" t="s">
        <v>20</v>
      </c>
      <c r="I1794" s="2">
        <f t="shared" ref="I1794:I1857" si="56">B1794-C1794</f>
        <v>696.99999999999989</v>
      </c>
      <c r="J1794" s="2">
        <f t="shared" ref="J1794:J1857" si="57">IF(C1794=0,0,I1794/C1794)</f>
        <v>1.696482901302178</v>
      </c>
    </row>
    <row r="1795" spans="1:10" x14ac:dyDescent="0.3">
      <c r="A1795" s="1">
        <v>45305</v>
      </c>
      <c r="B1795">
        <v>1223.01</v>
      </c>
      <c r="C1795">
        <v>331.24</v>
      </c>
      <c r="D1795">
        <v>10</v>
      </c>
      <c r="E1795" s="2" t="s">
        <v>8</v>
      </c>
      <c r="F1795" s="2" t="s">
        <v>17</v>
      </c>
      <c r="G1795" s="2" t="s">
        <v>19</v>
      </c>
      <c r="H1795" s="2" t="s">
        <v>11</v>
      </c>
      <c r="I1795" s="2">
        <f t="shared" si="56"/>
        <v>891.77</v>
      </c>
      <c r="J1795" s="2">
        <f t="shared" si="57"/>
        <v>2.6922171235358046</v>
      </c>
    </row>
    <row r="1796" spans="1:10" x14ac:dyDescent="0.3">
      <c r="A1796" s="1">
        <v>45410</v>
      </c>
      <c r="B1796">
        <v>856.56</v>
      </c>
      <c r="C1796">
        <v>123.32</v>
      </c>
      <c r="D1796">
        <v>8</v>
      </c>
      <c r="E1796" s="2" t="s">
        <v>8</v>
      </c>
      <c r="F1796" s="2" t="s">
        <v>17</v>
      </c>
      <c r="G1796" s="2" t="s">
        <v>10</v>
      </c>
      <c r="H1796" s="2" t="s">
        <v>20</v>
      </c>
      <c r="I1796" s="2">
        <f t="shared" si="56"/>
        <v>733.24</v>
      </c>
      <c r="J1796" s="2">
        <f t="shared" si="57"/>
        <v>5.9458319818358749</v>
      </c>
    </row>
    <row r="1797" spans="1:10" x14ac:dyDescent="0.3">
      <c r="A1797" s="1">
        <v>45314</v>
      </c>
      <c r="B1797">
        <v>985.2</v>
      </c>
      <c r="C1797">
        <v>235.34</v>
      </c>
      <c r="D1797">
        <v>2</v>
      </c>
      <c r="E1797" s="2" t="s">
        <v>13</v>
      </c>
      <c r="F1797" s="2" t="s">
        <v>17</v>
      </c>
      <c r="G1797" s="2" t="s">
        <v>14</v>
      </c>
      <c r="H1797" s="2" t="s">
        <v>11</v>
      </c>
      <c r="I1797" s="2">
        <f t="shared" si="56"/>
        <v>749.86</v>
      </c>
      <c r="J1797" s="2">
        <f t="shared" si="57"/>
        <v>3.1862836746834367</v>
      </c>
    </row>
    <row r="1798" spans="1:10" x14ac:dyDescent="0.3">
      <c r="A1798" s="1">
        <v>45371</v>
      </c>
      <c r="B1798">
        <v>936.28</v>
      </c>
      <c r="C1798">
        <v>138.02000000000001</v>
      </c>
      <c r="D1798">
        <v>8</v>
      </c>
      <c r="E1798" s="2" t="s">
        <v>13</v>
      </c>
      <c r="F1798" s="2" t="s">
        <v>9</v>
      </c>
      <c r="G1798" s="2" t="s">
        <v>12</v>
      </c>
      <c r="H1798" s="2" t="s">
        <v>11</v>
      </c>
      <c r="I1798" s="2">
        <f t="shared" si="56"/>
        <v>798.26</v>
      </c>
      <c r="J1798" s="2">
        <f t="shared" si="57"/>
        <v>5.7836545428198809</v>
      </c>
    </row>
    <row r="1799" spans="1:10" x14ac:dyDescent="0.3">
      <c r="A1799" s="1">
        <v>45322</v>
      </c>
      <c r="B1799">
        <v>610.29</v>
      </c>
      <c r="C1799">
        <v>369.57</v>
      </c>
      <c r="D1799">
        <v>10</v>
      </c>
      <c r="E1799" s="2" t="s">
        <v>13</v>
      </c>
      <c r="F1799" s="2" t="s">
        <v>17</v>
      </c>
      <c r="G1799" s="2" t="s">
        <v>10</v>
      </c>
      <c r="H1799" s="2" t="s">
        <v>18</v>
      </c>
      <c r="I1799" s="2">
        <f t="shared" si="56"/>
        <v>240.71999999999997</v>
      </c>
      <c r="J1799" s="2">
        <f t="shared" si="57"/>
        <v>0.65135157074437855</v>
      </c>
    </row>
    <row r="1800" spans="1:10" x14ac:dyDescent="0.3">
      <c r="A1800" s="1">
        <v>45379</v>
      </c>
      <c r="B1800">
        <v>1337.22</v>
      </c>
      <c r="C1800">
        <v>292.72000000000003</v>
      </c>
      <c r="D1800">
        <v>2</v>
      </c>
      <c r="E1800" s="2" t="s">
        <v>8</v>
      </c>
      <c r="F1800" s="2" t="s">
        <v>17</v>
      </c>
      <c r="G1800" s="2" t="s">
        <v>10</v>
      </c>
      <c r="H1800" s="2" t="s">
        <v>20</v>
      </c>
      <c r="I1800" s="2">
        <f t="shared" si="56"/>
        <v>1044.5</v>
      </c>
      <c r="J1800" s="2">
        <f t="shared" si="57"/>
        <v>3.5682563541951349</v>
      </c>
    </row>
    <row r="1801" spans="1:10" x14ac:dyDescent="0.3">
      <c r="A1801" s="1">
        <v>45377</v>
      </c>
      <c r="B1801">
        <v>1400.12</v>
      </c>
      <c r="C1801">
        <v>278.16000000000003</v>
      </c>
      <c r="D1801">
        <v>1</v>
      </c>
      <c r="E1801" s="2" t="s">
        <v>13</v>
      </c>
      <c r="F1801" s="2" t="s">
        <v>17</v>
      </c>
      <c r="G1801" s="2" t="s">
        <v>14</v>
      </c>
      <c r="H1801" s="2" t="s">
        <v>18</v>
      </c>
      <c r="I1801" s="2">
        <f t="shared" si="56"/>
        <v>1121.9599999999998</v>
      </c>
      <c r="J1801" s="2">
        <f t="shared" si="57"/>
        <v>4.0335058958872585</v>
      </c>
    </row>
    <row r="1802" spans="1:10" x14ac:dyDescent="0.3">
      <c r="A1802" s="1">
        <v>45341</v>
      </c>
      <c r="B1802">
        <v>464.63</v>
      </c>
      <c r="C1802">
        <v>56.22</v>
      </c>
      <c r="D1802">
        <v>9</v>
      </c>
      <c r="E1802" s="2" t="s">
        <v>13</v>
      </c>
      <c r="F1802" s="2" t="s">
        <v>9</v>
      </c>
      <c r="G1802" s="2" t="s">
        <v>10</v>
      </c>
      <c r="H1802" s="2" t="s">
        <v>18</v>
      </c>
      <c r="I1802" s="2">
        <f t="shared" si="56"/>
        <v>408.40999999999997</v>
      </c>
      <c r="J1802" s="2">
        <f t="shared" si="57"/>
        <v>7.2644966204197789</v>
      </c>
    </row>
    <row r="1803" spans="1:10" x14ac:dyDescent="0.3">
      <c r="A1803" s="1">
        <v>45295</v>
      </c>
      <c r="B1803">
        <v>1387.63</v>
      </c>
      <c r="C1803">
        <v>186.98</v>
      </c>
      <c r="D1803">
        <v>8</v>
      </c>
      <c r="E1803" s="2" t="s">
        <v>13</v>
      </c>
      <c r="F1803" s="2" t="s">
        <v>9</v>
      </c>
      <c r="G1803" s="2" t="s">
        <v>12</v>
      </c>
      <c r="H1803" s="2" t="s">
        <v>11</v>
      </c>
      <c r="I1803" s="2">
        <f t="shared" si="56"/>
        <v>1200.6500000000001</v>
      </c>
      <c r="J1803" s="2">
        <f t="shared" si="57"/>
        <v>6.4212750026740837</v>
      </c>
    </row>
    <row r="1804" spans="1:10" x14ac:dyDescent="0.3">
      <c r="A1804" s="1">
        <v>45390</v>
      </c>
      <c r="B1804">
        <v>258.58</v>
      </c>
      <c r="C1804">
        <v>149.04</v>
      </c>
      <c r="D1804">
        <v>4</v>
      </c>
      <c r="E1804" s="2" t="s">
        <v>13</v>
      </c>
      <c r="F1804" s="2" t="s">
        <v>9</v>
      </c>
      <c r="G1804" s="2" t="s">
        <v>19</v>
      </c>
      <c r="H1804" s="2" t="s">
        <v>20</v>
      </c>
      <c r="I1804" s="2">
        <f t="shared" si="56"/>
        <v>109.53999999999999</v>
      </c>
      <c r="J1804" s="2">
        <f t="shared" si="57"/>
        <v>0.73497047772410085</v>
      </c>
    </row>
    <row r="1805" spans="1:10" x14ac:dyDescent="0.3">
      <c r="A1805" s="1">
        <v>45347</v>
      </c>
      <c r="B1805">
        <v>132.63</v>
      </c>
      <c r="C1805">
        <v>72.11</v>
      </c>
      <c r="D1805">
        <v>0</v>
      </c>
      <c r="E1805" s="2" t="s">
        <v>16</v>
      </c>
      <c r="F1805" s="2" t="s">
        <v>17</v>
      </c>
      <c r="G1805" s="2" t="s">
        <v>19</v>
      </c>
      <c r="H1805" s="2" t="s">
        <v>11</v>
      </c>
      <c r="I1805" s="2">
        <f t="shared" si="56"/>
        <v>60.519999999999996</v>
      </c>
      <c r="J1805" s="2">
        <f t="shared" si="57"/>
        <v>0.83927333240881985</v>
      </c>
    </row>
    <row r="1806" spans="1:10" x14ac:dyDescent="0.3">
      <c r="A1806" s="1">
        <v>45317</v>
      </c>
      <c r="B1806">
        <v>1316.23</v>
      </c>
      <c r="C1806">
        <v>296.17</v>
      </c>
      <c r="D1806">
        <v>5</v>
      </c>
      <c r="E1806" s="2" t="s">
        <v>16</v>
      </c>
      <c r="F1806" s="2" t="s">
        <v>9</v>
      </c>
      <c r="G1806" s="2" t="s">
        <v>12</v>
      </c>
      <c r="H1806" s="2" t="s">
        <v>20</v>
      </c>
      <c r="I1806" s="2">
        <f t="shared" si="56"/>
        <v>1020.06</v>
      </c>
      <c r="J1806" s="2">
        <f t="shared" si="57"/>
        <v>3.4441705777087481</v>
      </c>
    </row>
    <row r="1807" spans="1:10" x14ac:dyDescent="0.3">
      <c r="A1807" s="1">
        <v>45320</v>
      </c>
      <c r="B1807">
        <v>968.71</v>
      </c>
      <c r="C1807">
        <v>370.8</v>
      </c>
      <c r="D1807">
        <v>0</v>
      </c>
      <c r="E1807" s="2" t="s">
        <v>13</v>
      </c>
      <c r="F1807" s="2" t="s">
        <v>9</v>
      </c>
      <c r="G1807" s="2" t="s">
        <v>10</v>
      </c>
      <c r="H1807" s="2" t="s">
        <v>11</v>
      </c>
      <c r="I1807" s="2">
        <f t="shared" si="56"/>
        <v>597.91000000000008</v>
      </c>
      <c r="J1807" s="2">
        <f t="shared" si="57"/>
        <v>1.6124865156418555</v>
      </c>
    </row>
    <row r="1808" spans="1:10" x14ac:dyDescent="0.3">
      <c r="A1808" s="1">
        <v>45397</v>
      </c>
      <c r="B1808">
        <v>1113.43</v>
      </c>
      <c r="C1808">
        <v>163.41</v>
      </c>
      <c r="D1808">
        <v>10</v>
      </c>
      <c r="E1808" s="2" t="s">
        <v>16</v>
      </c>
      <c r="F1808" s="2" t="s">
        <v>17</v>
      </c>
      <c r="G1808" s="2" t="s">
        <v>14</v>
      </c>
      <c r="H1808" s="2" t="s">
        <v>20</v>
      </c>
      <c r="I1808" s="2">
        <f t="shared" si="56"/>
        <v>950.0200000000001</v>
      </c>
      <c r="J1808" s="2">
        <f t="shared" si="57"/>
        <v>5.813720090569733</v>
      </c>
    </row>
    <row r="1809" spans="1:10" x14ac:dyDescent="0.3">
      <c r="A1809" s="1">
        <v>45345</v>
      </c>
      <c r="B1809">
        <v>1017.76</v>
      </c>
      <c r="C1809">
        <v>481.55</v>
      </c>
      <c r="D1809">
        <v>6</v>
      </c>
      <c r="E1809" s="2" t="s">
        <v>16</v>
      </c>
      <c r="F1809" s="2" t="s">
        <v>9</v>
      </c>
      <c r="G1809" s="2" t="s">
        <v>12</v>
      </c>
      <c r="H1809" s="2" t="s">
        <v>18</v>
      </c>
      <c r="I1809" s="2">
        <f t="shared" si="56"/>
        <v>536.21</v>
      </c>
      <c r="J1809" s="2">
        <f t="shared" si="57"/>
        <v>1.1135084622572942</v>
      </c>
    </row>
    <row r="1810" spans="1:10" x14ac:dyDescent="0.3">
      <c r="A1810" s="1">
        <v>45309</v>
      </c>
      <c r="B1810">
        <v>83.35</v>
      </c>
      <c r="C1810">
        <v>344.89</v>
      </c>
      <c r="D1810">
        <v>3</v>
      </c>
      <c r="E1810" s="2" t="s">
        <v>13</v>
      </c>
      <c r="F1810" s="2" t="s">
        <v>9</v>
      </c>
      <c r="G1810" s="2" t="s">
        <v>19</v>
      </c>
      <c r="H1810" s="2" t="s">
        <v>18</v>
      </c>
      <c r="I1810" s="2">
        <f t="shared" si="56"/>
        <v>-261.53999999999996</v>
      </c>
      <c r="J1810" s="2">
        <f t="shared" si="57"/>
        <v>-0.75832874249760784</v>
      </c>
    </row>
    <row r="1811" spans="1:10" x14ac:dyDescent="0.3">
      <c r="A1811" s="1">
        <v>45321</v>
      </c>
      <c r="B1811">
        <v>682.53</v>
      </c>
      <c r="C1811">
        <v>150.93</v>
      </c>
      <c r="D1811">
        <v>5</v>
      </c>
      <c r="E1811" s="2" t="s">
        <v>13</v>
      </c>
      <c r="F1811" s="2" t="s">
        <v>9</v>
      </c>
      <c r="G1811" s="2" t="s">
        <v>12</v>
      </c>
      <c r="H1811" s="2" t="s">
        <v>20</v>
      </c>
      <c r="I1811" s="2">
        <f t="shared" si="56"/>
        <v>531.59999999999991</v>
      </c>
      <c r="J1811" s="2">
        <f t="shared" si="57"/>
        <v>3.5221625919300332</v>
      </c>
    </row>
    <row r="1812" spans="1:10" x14ac:dyDescent="0.3">
      <c r="A1812" s="1">
        <v>45326</v>
      </c>
      <c r="B1812">
        <v>688.06</v>
      </c>
      <c r="C1812">
        <v>417.75</v>
      </c>
      <c r="D1812">
        <v>5</v>
      </c>
      <c r="E1812" s="2" t="s">
        <v>8</v>
      </c>
      <c r="F1812" s="2" t="s">
        <v>9</v>
      </c>
      <c r="G1812" s="2" t="s">
        <v>12</v>
      </c>
      <c r="H1812" s="2" t="s">
        <v>20</v>
      </c>
      <c r="I1812" s="2">
        <f t="shared" si="56"/>
        <v>270.30999999999995</v>
      </c>
      <c r="J1812" s="2">
        <f t="shared" si="57"/>
        <v>0.64706163973668451</v>
      </c>
    </row>
    <row r="1813" spans="1:10" x14ac:dyDescent="0.3">
      <c r="A1813" s="1">
        <v>45373</v>
      </c>
      <c r="B1813">
        <v>1278.77</v>
      </c>
      <c r="C1813">
        <v>102.05</v>
      </c>
      <c r="D1813">
        <v>6</v>
      </c>
      <c r="E1813" s="2" t="s">
        <v>8</v>
      </c>
      <c r="F1813" s="2" t="s">
        <v>9</v>
      </c>
      <c r="G1813" s="2" t="s">
        <v>12</v>
      </c>
      <c r="H1813" s="2" t="s">
        <v>20</v>
      </c>
      <c r="I1813" s="2">
        <f t="shared" si="56"/>
        <v>1176.72</v>
      </c>
      <c r="J1813" s="2">
        <f t="shared" si="57"/>
        <v>11.530818226359628</v>
      </c>
    </row>
    <row r="1814" spans="1:10" x14ac:dyDescent="0.3">
      <c r="A1814" s="1">
        <v>45320</v>
      </c>
      <c r="B1814">
        <v>1351.51</v>
      </c>
      <c r="C1814">
        <v>106.78</v>
      </c>
      <c r="D1814">
        <v>5</v>
      </c>
      <c r="E1814" s="2" t="s">
        <v>13</v>
      </c>
      <c r="F1814" s="2" t="s">
        <v>17</v>
      </c>
      <c r="G1814" s="2" t="s">
        <v>10</v>
      </c>
      <c r="H1814" s="2" t="s">
        <v>20</v>
      </c>
      <c r="I1814" s="2">
        <f t="shared" si="56"/>
        <v>1244.73</v>
      </c>
      <c r="J1814" s="2">
        <f t="shared" si="57"/>
        <v>11.65695823187863</v>
      </c>
    </row>
    <row r="1815" spans="1:10" x14ac:dyDescent="0.3">
      <c r="A1815" s="1">
        <v>45335</v>
      </c>
      <c r="B1815">
        <v>61.26</v>
      </c>
      <c r="C1815">
        <v>424.6</v>
      </c>
      <c r="D1815">
        <v>1</v>
      </c>
      <c r="E1815" s="2" t="s">
        <v>16</v>
      </c>
      <c r="F1815" s="2" t="s">
        <v>9</v>
      </c>
      <c r="G1815" s="2" t="s">
        <v>19</v>
      </c>
      <c r="H1815" s="2" t="s">
        <v>11</v>
      </c>
      <c r="I1815" s="2">
        <f t="shared" si="56"/>
        <v>-363.34000000000003</v>
      </c>
      <c r="J1815" s="2">
        <f t="shared" si="57"/>
        <v>-0.85572303344324074</v>
      </c>
    </row>
    <row r="1816" spans="1:10" x14ac:dyDescent="0.3">
      <c r="A1816" s="1">
        <v>45363</v>
      </c>
      <c r="B1816">
        <v>353.89</v>
      </c>
      <c r="C1816">
        <v>316.77999999999997</v>
      </c>
      <c r="D1816">
        <v>7</v>
      </c>
      <c r="E1816" s="2" t="s">
        <v>8</v>
      </c>
      <c r="F1816" s="2" t="s">
        <v>17</v>
      </c>
      <c r="G1816" s="2" t="s">
        <v>10</v>
      </c>
      <c r="H1816" s="2" t="s">
        <v>20</v>
      </c>
      <c r="I1816" s="2">
        <f t="shared" si="56"/>
        <v>37.110000000000014</v>
      </c>
      <c r="J1816" s="2">
        <f t="shared" si="57"/>
        <v>0.11714754719363601</v>
      </c>
    </row>
    <row r="1817" spans="1:10" x14ac:dyDescent="0.3">
      <c r="A1817" s="1">
        <v>45389</v>
      </c>
      <c r="B1817">
        <v>173.49</v>
      </c>
      <c r="C1817">
        <v>98.6</v>
      </c>
      <c r="D1817">
        <v>6</v>
      </c>
      <c r="E1817" s="2" t="s">
        <v>16</v>
      </c>
      <c r="F1817" s="2" t="s">
        <v>9</v>
      </c>
      <c r="G1817" s="2" t="s">
        <v>19</v>
      </c>
      <c r="H1817" s="2" t="s">
        <v>20</v>
      </c>
      <c r="I1817" s="2">
        <f t="shared" si="56"/>
        <v>74.890000000000015</v>
      </c>
      <c r="J1817" s="2">
        <f t="shared" si="57"/>
        <v>0.75953346855983794</v>
      </c>
    </row>
    <row r="1818" spans="1:10" x14ac:dyDescent="0.3">
      <c r="A1818" s="1">
        <v>45375</v>
      </c>
      <c r="B1818">
        <v>642.29999999999995</v>
      </c>
      <c r="C1818">
        <v>444.97</v>
      </c>
      <c r="D1818">
        <v>2</v>
      </c>
      <c r="E1818" s="2" t="s">
        <v>8</v>
      </c>
      <c r="F1818" s="2" t="s">
        <v>17</v>
      </c>
      <c r="G1818" s="2" t="s">
        <v>19</v>
      </c>
      <c r="H1818" s="2" t="s">
        <v>11</v>
      </c>
      <c r="I1818" s="2">
        <f t="shared" si="56"/>
        <v>197.32999999999993</v>
      </c>
      <c r="J1818" s="2">
        <f t="shared" si="57"/>
        <v>0.4434680989729643</v>
      </c>
    </row>
    <row r="1819" spans="1:10" x14ac:dyDescent="0.3">
      <c r="A1819" s="1">
        <v>45388</v>
      </c>
      <c r="B1819">
        <v>996.94</v>
      </c>
      <c r="C1819">
        <v>422.47</v>
      </c>
      <c r="D1819">
        <v>6</v>
      </c>
      <c r="E1819" s="2" t="s">
        <v>13</v>
      </c>
      <c r="F1819" s="2" t="s">
        <v>9</v>
      </c>
      <c r="G1819" s="2" t="s">
        <v>12</v>
      </c>
      <c r="H1819" s="2" t="s">
        <v>18</v>
      </c>
      <c r="I1819" s="2">
        <f t="shared" si="56"/>
        <v>574.47</v>
      </c>
      <c r="J1819" s="2">
        <f t="shared" si="57"/>
        <v>1.3597888607475086</v>
      </c>
    </row>
    <row r="1820" spans="1:10" x14ac:dyDescent="0.3">
      <c r="A1820" s="1">
        <v>45393</v>
      </c>
      <c r="B1820">
        <v>1220.43</v>
      </c>
      <c r="C1820">
        <v>22.84</v>
      </c>
      <c r="D1820">
        <v>9</v>
      </c>
      <c r="E1820" s="2" t="s">
        <v>13</v>
      </c>
      <c r="F1820" s="2" t="s">
        <v>9</v>
      </c>
      <c r="G1820" s="2" t="s">
        <v>14</v>
      </c>
      <c r="H1820" s="2" t="s">
        <v>18</v>
      </c>
      <c r="I1820" s="2">
        <f t="shared" si="56"/>
        <v>1197.5900000000001</v>
      </c>
      <c r="J1820" s="2">
        <f t="shared" si="57"/>
        <v>52.433887915936957</v>
      </c>
    </row>
    <row r="1821" spans="1:10" x14ac:dyDescent="0.3">
      <c r="A1821" s="1">
        <v>45306</v>
      </c>
      <c r="B1821">
        <v>728.69</v>
      </c>
      <c r="C1821">
        <v>142.19</v>
      </c>
      <c r="D1821">
        <v>4</v>
      </c>
      <c r="E1821" s="2" t="s">
        <v>13</v>
      </c>
      <c r="F1821" s="2" t="s">
        <v>17</v>
      </c>
      <c r="G1821" s="2" t="s">
        <v>19</v>
      </c>
      <c r="H1821" s="2" t="s">
        <v>18</v>
      </c>
      <c r="I1821" s="2">
        <f t="shared" si="56"/>
        <v>586.5</v>
      </c>
      <c r="J1821" s="2">
        <f t="shared" si="57"/>
        <v>4.1247626415359733</v>
      </c>
    </row>
    <row r="1822" spans="1:10" x14ac:dyDescent="0.3">
      <c r="A1822" s="1">
        <v>45345</v>
      </c>
      <c r="B1822">
        <v>1136.67</v>
      </c>
      <c r="C1822">
        <v>385.87</v>
      </c>
      <c r="D1822">
        <v>0</v>
      </c>
      <c r="E1822" s="2" t="s">
        <v>16</v>
      </c>
      <c r="F1822" s="2" t="s">
        <v>17</v>
      </c>
      <c r="G1822" s="2" t="s">
        <v>10</v>
      </c>
      <c r="H1822" s="2" t="s">
        <v>18</v>
      </c>
      <c r="I1822" s="2">
        <f t="shared" si="56"/>
        <v>750.80000000000007</v>
      </c>
      <c r="J1822" s="2">
        <f t="shared" si="57"/>
        <v>1.9457330188923732</v>
      </c>
    </row>
    <row r="1823" spans="1:10" x14ac:dyDescent="0.3">
      <c r="A1823" s="1">
        <v>45308</v>
      </c>
      <c r="B1823">
        <v>476.09</v>
      </c>
      <c r="C1823">
        <v>164.55</v>
      </c>
      <c r="D1823">
        <v>9</v>
      </c>
      <c r="E1823" s="2" t="s">
        <v>8</v>
      </c>
      <c r="F1823" s="2" t="s">
        <v>9</v>
      </c>
      <c r="G1823" s="2" t="s">
        <v>10</v>
      </c>
      <c r="H1823" s="2" t="s">
        <v>20</v>
      </c>
      <c r="I1823" s="2">
        <f t="shared" si="56"/>
        <v>311.53999999999996</v>
      </c>
      <c r="J1823" s="2">
        <f t="shared" si="57"/>
        <v>1.8932847158918258</v>
      </c>
    </row>
    <row r="1824" spans="1:10" x14ac:dyDescent="0.3">
      <c r="A1824" s="1">
        <v>45316</v>
      </c>
      <c r="B1824">
        <v>627.51</v>
      </c>
      <c r="C1824">
        <v>339.06</v>
      </c>
      <c r="D1824">
        <v>5</v>
      </c>
      <c r="E1824" s="2" t="s">
        <v>16</v>
      </c>
      <c r="F1824" s="2" t="s">
        <v>9</v>
      </c>
      <c r="G1824" s="2" t="s">
        <v>12</v>
      </c>
      <c r="H1824" s="2" t="s">
        <v>18</v>
      </c>
      <c r="I1824" s="2">
        <f t="shared" si="56"/>
        <v>288.45</v>
      </c>
      <c r="J1824" s="2">
        <f t="shared" si="57"/>
        <v>0.85073438329499196</v>
      </c>
    </row>
    <row r="1825" spans="1:10" x14ac:dyDescent="0.3">
      <c r="A1825" s="1">
        <v>45387</v>
      </c>
      <c r="B1825">
        <v>336.86</v>
      </c>
      <c r="C1825">
        <v>443.27</v>
      </c>
      <c r="D1825">
        <v>0</v>
      </c>
      <c r="E1825" s="2" t="s">
        <v>16</v>
      </c>
      <c r="F1825" s="2" t="s">
        <v>9</v>
      </c>
      <c r="G1825" s="2" t="s">
        <v>10</v>
      </c>
      <c r="H1825" s="2" t="s">
        <v>20</v>
      </c>
      <c r="I1825" s="2">
        <f t="shared" si="56"/>
        <v>-106.40999999999997</v>
      </c>
      <c r="J1825" s="2">
        <f t="shared" si="57"/>
        <v>-0.24005685022672404</v>
      </c>
    </row>
    <row r="1826" spans="1:10" x14ac:dyDescent="0.3">
      <c r="A1826" s="1">
        <v>45329</v>
      </c>
      <c r="B1826">
        <v>1000.87</v>
      </c>
      <c r="C1826">
        <v>379.22</v>
      </c>
      <c r="D1826">
        <v>4</v>
      </c>
      <c r="E1826" s="2" t="s">
        <v>13</v>
      </c>
      <c r="F1826" s="2" t="s">
        <v>17</v>
      </c>
      <c r="G1826" s="2" t="s">
        <v>12</v>
      </c>
      <c r="H1826" s="2" t="s">
        <v>18</v>
      </c>
      <c r="I1826" s="2">
        <f t="shared" si="56"/>
        <v>621.65</v>
      </c>
      <c r="J1826" s="2">
        <f t="shared" si="57"/>
        <v>1.6392859026422655</v>
      </c>
    </row>
    <row r="1827" spans="1:10" x14ac:dyDescent="0.3">
      <c r="A1827" s="1">
        <v>45330</v>
      </c>
      <c r="B1827">
        <v>1494.77</v>
      </c>
      <c r="C1827">
        <v>266.14</v>
      </c>
      <c r="D1827">
        <v>0</v>
      </c>
      <c r="E1827" s="2" t="s">
        <v>16</v>
      </c>
      <c r="F1827" s="2" t="s">
        <v>9</v>
      </c>
      <c r="G1827" s="2" t="s">
        <v>19</v>
      </c>
      <c r="H1827" s="2" t="s">
        <v>18</v>
      </c>
      <c r="I1827" s="2">
        <f t="shared" si="56"/>
        <v>1228.6300000000001</v>
      </c>
      <c r="J1827" s="2">
        <f t="shared" si="57"/>
        <v>4.6164800480949886</v>
      </c>
    </row>
    <row r="1828" spans="1:10" x14ac:dyDescent="0.3">
      <c r="A1828" s="1">
        <v>45324</v>
      </c>
      <c r="B1828">
        <v>486.41</v>
      </c>
      <c r="C1828">
        <v>289.11</v>
      </c>
      <c r="D1828">
        <v>8</v>
      </c>
      <c r="E1828" s="2" t="s">
        <v>16</v>
      </c>
      <c r="F1828" s="2" t="s">
        <v>17</v>
      </c>
      <c r="G1828" s="2" t="s">
        <v>14</v>
      </c>
      <c r="H1828" s="2" t="s">
        <v>20</v>
      </c>
      <c r="I1828" s="2">
        <f t="shared" si="56"/>
        <v>197.3</v>
      </c>
      <c r="J1828" s="2">
        <f t="shared" si="57"/>
        <v>0.68243920998927743</v>
      </c>
    </row>
    <row r="1829" spans="1:10" x14ac:dyDescent="0.3">
      <c r="A1829" s="1">
        <v>45353</v>
      </c>
      <c r="B1829">
        <v>349.92</v>
      </c>
      <c r="C1829">
        <v>90.83</v>
      </c>
      <c r="D1829">
        <v>0</v>
      </c>
      <c r="E1829" s="2" t="s">
        <v>13</v>
      </c>
      <c r="F1829" s="2" t="s">
        <v>9</v>
      </c>
      <c r="G1829" s="2" t="s">
        <v>19</v>
      </c>
      <c r="H1829" s="2" t="s">
        <v>11</v>
      </c>
      <c r="I1829" s="2">
        <f t="shared" si="56"/>
        <v>259.09000000000003</v>
      </c>
      <c r="J1829" s="2">
        <f t="shared" si="57"/>
        <v>2.8524716503357928</v>
      </c>
    </row>
    <row r="1830" spans="1:10" x14ac:dyDescent="0.3">
      <c r="A1830" s="1">
        <v>45342</v>
      </c>
      <c r="B1830">
        <v>705.31</v>
      </c>
      <c r="C1830">
        <v>74.16</v>
      </c>
      <c r="D1830">
        <v>0</v>
      </c>
      <c r="E1830" s="2" t="s">
        <v>16</v>
      </c>
      <c r="F1830" s="2" t="s">
        <v>9</v>
      </c>
      <c r="G1830" s="2" t="s">
        <v>10</v>
      </c>
      <c r="H1830" s="2" t="s">
        <v>20</v>
      </c>
      <c r="I1830" s="2">
        <f t="shared" si="56"/>
        <v>631.15</v>
      </c>
      <c r="J1830" s="2">
        <f t="shared" si="57"/>
        <v>8.5106526429341969</v>
      </c>
    </row>
    <row r="1831" spans="1:10" x14ac:dyDescent="0.3">
      <c r="A1831" s="1">
        <v>45357</v>
      </c>
      <c r="B1831">
        <v>909.19</v>
      </c>
      <c r="C1831">
        <v>476.07</v>
      </c>
      <c r="D1831">
        <v>2</v>
      </c>
      <c r="E1831" s="2" t="s">
        <v>13</v>
      </c>
      <c r="F1831" s="2" t="s">
        <v>17</v>
      </c>
      <c r="G1831" s="2" t="s">
        <v>10</v>
      </c>
      <c r="H1831" s="2" t="s">
        <v>11</v>
      </c>
      <c r="I1831" s="2">
        <f t="shared" si="56"/>
        <v>433.12000000000006</v>
      </c>
      <c r="J1831" s="2">
        <f t="shared" si="57"/>
        <v>0.90978217489024737</v>
      </c>
    </row>
    <row r="1832" spans="1:10" x14ac:dyDescent="0.3">
      <c r="A1832" s="1">
        <v>45312</v>
      </c>
      <c r="B1832">
        <v>318.01</v>
      </c>
      <c r="C1832">
        <v>410.03</v>
      </c>
      <c r="D1832">
        <v>10</v>
      </c>
      <c r="E1832" s="2" t="s">
        <v>13</v>
      </c>
      <c r="F1832" s="2" t="s">
        <v>17</v>
      </c>
      <c r="G1832" s="2" t="s">
        <v>14</v>
      </c>
      <c r="H1832" s="2" t="s">
        <v>18</v>
      </c>
      <c r="I1832" s="2">
        <f t="shared" si="56"/>
        <v>-92.019999999999982</v>
      </c>
      <c r="J1832" s="2">
        <f t="shared" si="57"/>
        <v>-0.2244226032241543</v>
      </c>
    </row>
    <row r="1833" spans="1:10" x14ac:dyDescent="0.3">
      <c r="A1833" s="1">
        <v>45358</v>
      </c>
      <c r="B1833">
        <v>1331.96</v>
      </c>
      <c r="C1833">
        <v>455.41</v>
      </c>
      <c r="D1833">
        <v>5</v>
      </c>
      <c r="E1833" s="2" t="s">
        <v>16</v>
      </c>
      <c r="F1833" s="2" t="s">
        <v>9</v>
      </c>
      <c r="G1833" s="2" t="s">
        <v>12</v>
      </c>
      <c r="H1833" s="2" t="s">
        <v>18</v>
      </c>
      <c r="I1833" s="2">
        <f t="shared" si="56"/>
        <v>876.55</v>
      </c>
      <c r="J1833" s="2">
        <f t="shared" si="57"/>
        <v>1.9247491271601411</v>
      </c>
    </row>
    <row r="1834" spans="1:10" x14ac:dyDescent="0.3">
      <c r="A1834" s="1">
        <v>45410</v>
      </c>
      <c r="B1834">
        <v>1327.42</v>
      </c>
      <c r="C1834">
        <v>336.46</v>
      </c>
      <c r="D1834">
        <v>10</v>
      </c>
      <c r="E1834" s="2" t="s">
        <v>8</v>
      </c>
      <c r="F1834" s="2" t="s">
        <v>17</v>
      </c>
      <c r="G1834" s="2" t="s">
        <v>12</v>
      </c>
      <c r="H1834" s="2" t="s">
        <v>11</v>
      </c>
      <c r="I1834" s="2">
        <f t="shared" si="56"/>
        <v>990.96</v>
      </c>
      <c r="J1834" s="2">
        <f t="shared" si="57"/>
        <v>2.9452535219639784</v>
      </c>
    </row>
    <row r="1835" spans="1:10" x14ac:dyDescent="0.3">
      <c r="A1835" s="1">
        <v>45323</v>
      </c>
      <c r="B1835">
        <v>1259.31</v>
      </c>
      <c r="C1835">
        <v>143.08000000000001</v>
      </c>
      <c r="D1835">
        <v>2</v>
      </c>
      <c r="E1835" s="2" t="s">
        <v>16</v>
      </c>
      <c r="F1835" s="2" t="s">
        <v>17</v>
      </c>
      <c r="G1835" s="2" t="s">
        <v>10</v>
      </c>
      <c r="H1835" s="2" t="s">
        <v>20</v>
      </c>
      <c r="I1835" s="2">
        <f t="shared" si="56"/>
        <v>1116.23</v>
      </c>
      <c r="J1835" s="2">
        <f t="shared" si="57"/>
        <v>7.801439753983785</v>
      </c>
    </row>
    <row r="1836" spans="1:10" x14ac:dyDescent="0.3">
      <c r="A1836" s="1">
        <v>45394</v>
      </c>
      <c r="B1836">
        <v>769.62</v>
      </c>
      <c r="C1836">
        <v>175.7</v>
      </c>
      <c r="D1836">
        <v>8</v>
      </c>
      <c r="E1836" s="2" t="s">
        <v>8</v>
      </c>
      <c r="F1836" s="2" t="s">
        <v>17</v>
      </c>
      <c r="G1836" s="2" t="s">
        <v>19</v>
      </c>
      <c r="H1836" s="2" t="s">
        <v>15</v>
      </c>
      <c r="I1836" s="2">
        <f t="shared" si="56"/>
        <v>593.92000000000007</v>
      </c>
      <c r="J1836" s="2">
        <f t="shared" si="57"/>
        <v>3.3803073420603309</v>
      </c>
    </row>
    <row r="1837" spans="1:10" x14ac:dyDescent="0.3">
      <c r="A1837" s="1">
        <v>45351</v>
      </c>
      <c r="B1837">
        <v>363</v>
      </c>
      <c r="C1837">
        <v>250.21</v>
      </c>
      <c r="D1837">
        <v>0</v>
      </c>
      <c r="E1837" s="2" t="s">
        <v>16</v>
      </c>
      <c r="F1837" s="2" t="s">
        <v>9</v>
      </c>
      <c r="G1837" s="2" t="s">
        <v>10</v>
      </c>
      <c r="H1837" s="2" t="s">
        <v>15</v>
      </c>
      <c r="I1837" s="2">
        <f t="shared" si="56"/>
        <v>112.78999999999999</v>
      </c>
      <c r="J1837" s="2">
        <f t="shared" si="57"/>
        <v>0.45078134367131606</v>
      </c>
    </row>
    <row r="1838" spans="1:10" x14ac:dyDescent="0.3">
      <c r="A1838" s="1">
        <v>45320</v>
      </c>
      <c r="B1838">
        <v>1360.26</v>
      </c>
      <c r="C1838">
        <v>36.54</v>
      </c>
      <c r="D1838">
        <v>2</v>
      </c>
      <c r="E1838" s="2" t="s">
        <v>16</v>
      </c>
      <c r="F1838" s="2" t="s">
        <v>9</v>
      </c>
      <c r="G1838" s="2" t="s">
        <v>14</v>
      </c>
      <c r="H1838" s="2" t="s">
        <v>15</v>
      </c>
      <c r="I1838" s="2">
        <f t="shared" si="56"/>
        <v>1323.72</v>
      </c>
      <c r="J1838" s="2">
        <f t="shared" si="57"/>
        <v>36.22660098522168</v>
      </c>
    </row>
    <row r="1839" spans="1:10" x14ac:dyDescent="0.3">
      <c r="A1839" s="1">
        <v>45323</v>
      </c>
      <c r="B1839">
        <v>999</v>
      </c>
      <c r="C1839">
        <v>230.24</v>
      </c>
      <c r="D1839">
        <v>9</v>
      </c>
      <c r="E1839" s="2" t="s">
        <v>8</v>
      </c>
      <c r="F1839" s="2" t="s">
        <v>9</v>
      </c>
      <c r="G1839" s="2" t="s">
        <v>14</v>
      </c>
      <c r="H1839" s="2" t="s">
        <v>18</v>
      </c>
      <c r="I1839" s="2">
        <f t="shared" si="56"/>
        <v>768.76</v>
      </c>
      <c r="J1839" s="2">
        <f t="shared" si="57"/>
        <v>3.3389506601806809</v>
      </c>
    </row>
    <row r="1840" spans="1:10" x14ac:dyDescent="0.3">
      <c r="A1840" s="1">
        <v>45300</v>
      </c>
      <c r="B1840">
        <v>1470.37</v>
      </c>
      <c r="C1840">
        <v>445.77</v>
      </c>
      <c r="D1840">
        <v>10</v>
      </c>
      <c r="E1840" s="2" t="s">
        <v>13</v>
      </c>
      <c r="F1840" s="2" t="s">
        <v>9</v>
      </c>
      <c r="G1840" s="2" t="s">
        <v>14</v>
      </c>
      <c r="H1840" s="2" t="s">
        <v>20</v>
      </c>
      <c r="I1840" s="2">
        <f t="shared" si="56"/>
        <v>1024.5999999999999</v>
      </c>
      <c r="J1840" s="2">
        <f t="shared" si="57"/>
        <v>2.2984947394396213</v>
      </c>
    </row>
    <row r="1841" spans="1:10" x14ac:dyDescent="0.3">
      <c r="A1841" s="1">
        <v>45310</v>
      </c>
      <c r="B1841">
        <v>1142.02</v>
      </c>
      <c r="C1841">
        <v>236.77</v>
      </c>
      <c r="D1841">
        <v>10</v>
      </c>
      <c r="E1841" s="2" t="s">
        <v>8</v>
      </c>
      <c r="F1841" s="2" t="s">
        <v>9</v>
      </c>
      <c r="G1841" s="2" t="s">
        <v>10</v>
      </c>
      <c r="H1841" s="2" t="s">
        <v>18</v>
      </c>
      <c r="I1841" s="2">
        <f t="shared" si="56"/>
        <v>905.25</v>
      </c>
      <c r="J1841" s="2">
        <f t="shared" si="57"/>
        <v>3.8233306584449043</v>
      </c>
    </row>
    <row r="1842" spans="1:10" x14ac:dyDescent="0.3">
      <c r="A1842" s="1">
        <v>45401</v>
      </c>
      <c r="B1842">
        <v>1004.42</v>
      </c>
      <c r="C1842">
        <v>266.24</v>
      </c>
      <c r="D1842">
        <v>0</v>
      </c>
      <c r="E1842" s="2" t="s">
        <v>13</v>
      </c>
      <c r="F1842" s="2" t="s">
        <v>9</v>
      </c>
      <c r="G1842" s="2" t="s">
        <v>19</v>
      </c>
      <c r="H1842" s="2" t="s">
        <v>11</v>
      </c>
      <c r="I1842" s="2">
        <f t="shared" si="56"/>
        <v>738.18</v>
      </c>
      <c r="J1842" s="2">
        <f t="shared" si="57"/>
        <v>2.772611177884615</v>
      </c>
    </row>
    <row r="1843" spans="1:10" x14ac:dyDescent="0.3">
      <c r="A1843" s="1">
        <v>45358</v>
      </c>
      <c r="B1843">
        <v>486.75</v>
      </c>
      <c r="C1843">
        <v>342.65</v>
      </c>
      <c r="D1843">
        <v>5</v>
      </c>
      <c r="E1843" s="2" t="s">
        <v>16</v>
      </c>
      <c r="F1843" s="2" t="s">
        <v>17</v>
      </c>
      <c r="G1843" s="2" t="s">
        <v>12</v>
      </c>
      <c r="H1843" s="2" t="s">
        <v>15</v>
      </c>
      <c r="I1843" s="2">
        <f t="shared" si="56"/>
        <v>144.10000000000002</v>
      </c>
      <c r="J1843" s="2">
        <f t="shared" si="57"/>
        <v>0.42054574638844311</v>
      </c>
    </row>
    <row r="1844" spans="1:10" x14ac:dyDescent="0.3">
      <c r="A1844" s="1">
        <v>45399</v>
      </c>
      <c r="B1844">
        <v>765.44</v>
      </c>
      <c r="C1844">
        <v>143.06</v>
      </c>
      <c r="D1844">
        <v>7</v>
      </c>
      <c r="E1844" s="2" t="s">
        <v>8</v>
      </c>
      <c r="F1844" s="2" t="s">
        <v>9</v>
      </c>
      <c r="G1844" s="2" t="s">
        <v>14</v>
      </c>
      <c r="H1844" s="2" t="s">
        <v>20</v>
      </c>
      <c r="I1844" s="2">
        <f t="shared" si="56"/>
        <v>622.38000000000011</v>
      </c>
      <c r="J1844" s="2">
        <f t="shared" si="57"/>
        <v>4.3504823151125409</v>
      </c>
    </row>
    <row r="1845" spans="1:10" x14ac:dyDescent="0.3">
      <c r="A1845" s="1">
        <v>45314</v>
      </c>
      <c r="B1845">
        <v>189.37</v>
      </c>
      <c r="C1845">
        <v>494.46</v>
      </c>
      <c r="D1845">
        <v>2</v>
      </c>
      <c r="E1845" s="2" t="s">
        <v>13</v>
      </c>
      <c r="F1845" s="2" t="s">
        <v>17</v>
      </c>
      <c r="G1845" s="2" t="s">
        <v>12</v>
      </c>
      <c r="H1845" s="2" t="s">
        <v>18</v>
      </c>
      <c r="I1845" s="2">
        <f t="shared" si="56"/>
        <v>-305.08999999999997</v>
      </c>
      <c r="J1845" s="2">
        <f t="shared" si="57"/>
        <v>-0.6170165432997613</v>
      </c>
    </row>
    <row r="1846" spans="1:10" x14ac:dyDescent="0.3">
      <c r="A1846" s="1">
        <v>45340</v>
      </c>
      <c r="B1846">
        <v>1409.3</v>
      </c>
      <c r="C1846">
        <v>143.15</v>
      </c>
      <c r="D1846">
        <v>9</v>
      </c>
      <c r="E1846" s="2" t="s">
        <v>16</v>
      </c>
      <c r="F1846" s="2" t="s">
        <v>17</v>
      </c>
      <c r="G1846" s="2" t="s">
        <v>14</v>
      </c>
      <c r="H1846" s="2" t="s">
        <v>11</v>
      </c>
      <c r="I1846" s="2">
        <f t="shared" si="56"/>
        <v>1266.1499999999999</v>
      </c>
      <c r="J1846" s="2">
        <f t="shared" si="57"/>
        <v>8.8449179182675497</v>
      </c>
    </row>
    <row r="1847" spans="1:10" x14ac:dyDescent="0.3">
      <c r="A1847" s="1">
        <v>45334</v>
      </c>
      <c r="B1847">
        <v>630.77</v>
      </c>
      <c r="C1847">
        <v>258.60000000000002</v>
      </c>
      <c r="D1847">
        <v>4</v>
      </c>
      <c r="E1847" s="2" t="s">
        <v>8</v>
      </c>
      <c r="F1847" s="2" t="s">
        <v>17</v>
      </c>
      <c r="G1847" s="2" t="s">
        <v>14</v>
      </c>
      <c r="H1847" s="2" t="s">
        <v>15</v>
      </c>
      <c r="I1847" s="2">
        <f t="shared" si="56"/>
        <v>372.16999999999996</v>
      </c>
      <c r="J1847" s="2">
        <f t="shared" si="57"/>
        <v>1.4391724671307036</v>
      </c>
    </row>
    <row r="1848" spans="1:10" x14ac:dyDescent="0.3">
      <c r="A1848" s="1">
        <v>45343</v>
      </c>
      <c r="B1848">
        <v>1162.72</v>
      </c>
      <c r="C1848">
        <v>59.18</v>
      </c>
      <c r="D1848">
        <v>8</v>
      </c>
      <c r="E1848" s="2" t="s">
        <v>8</v>
      </c>
      <c r="F1848" s="2" t="s">
        <v>17</v>
      </c>
      <c r="G1848" s="2" t="s">
        <v>19</v>
      </c>
      <c r="H1848" s="2" t="s">
        <v>11</v>
      </c>
      <c r="I1848" s="2">
        <f t="shared" si="56"/>
        <v>1103.54</v>
      </c>
      <c r="J1848" s="2">
        <f t="shared" si="57"/>
        <v>18.647178100709699</v>
      </c>
    </row>
    <row r="1849" spans="1:10" x14ac:dyDescent="0.3">
      <c r="A1849" s="1">
        <v>45353</v>
      </c>
      <c r="B1849">
        <v>478.68</v>
      </c>
      <c r="C1849">
        <v>308.14</v>
      </c>
      <c r="D1849">
        <v>5</v>
      </c>
      <c r="E1849" s="2" t="s">
        <v>16</v>
      </c>
      <c r="F1849" s="2" t="s">
        <v>17</v>
      </c>
      <c r="G1849" s="2" t="s">
        <v>14</v>
      </c>
      <c r="H1849" s="2" t="s">
        <v>20</v>
      </c>
      <c r="I1849" s="2">
        <f t="shared" si="56"/>
        <v>170.54000000000002</v>
      </c>
      <c r="J1849" s="2">
        <f t="shared" si="57"/>
        <v>0.55344973064191605</v>
      </c>
    </row>
    <row r="1850" spans="1:10" x14ac:dyDescent="0.3">
      <c r="A1850" s="1">
        <v>45350</v>
      </c>
      <c r="B1850">
        <v>655.37</v>
      </c>
      <c r="C1850">
        <v>12.75</v>
      </c>
      <c r="D1850">
        <v>9</v>
      </c>
      <c r="E1850" s="2" t="s">
        <v>16</v>
      </c>
      <c r="F1850" s="2" t="s">
        <v>9</v>
      </c>
      <c r="G1850" s="2" t="s">
        <v>12</v>
      </c>
      <c r="H1850" s="2" t="s">
        <v>18</v>
      </c>
      <c r="I1850" s="2">
        <f t="shared" si="56"/>
        <v>642.62</v>
      </c>
      <c r="J1850" s="2">
        <f t="shared" si="57"/>
        <v>50.401568627450978</v>
      </c>
    </row>
    <row r="1851" spans="1:10" x14ac:dyDescent="0.3">
      <c r="A1851" s="1">
        <v>45327</v>
      </c>
      <c r="B1851">
        <v>589.25</v>
      </c>
      <c r="C1851">
        <v>334.87</v>
      </c>
      <c r="D1851">
        <v>9</v>
      </c>
      <c r="E1851" s="2" t="s">
        <v>8</v>
      </c>
      <c r="F1851" s="2" t="s">
        <v>9</v>
      </c>
      <c r="G1851" s="2" t="s">
        <v>10</v>
      </c>
      <c r="H1851" s="2" t="s">
        <v>11</v>
      </c>
      <c r="I1851" s="2">
        <f t="shared" si="56"/>
        <v>254.38</v>
      </c>
      <c r="J1851" s="2">
        <f t="shared" si="57"/>
        <v>0.75963806850419568</v>
      </c>
    </row>
    <row r="1852" spans="1:10" x14ac:dyDescent="0.3">
      <c r="A1852" s="1">
        <v>45323</v>
      </c>
      <c r="B1852">
        <v>517.02</v>
      </c>
      <c r="C1852">
        <v>38.020000000000003</v>
      </c>
      <c r="D1852">
        <v>7</v>
      </c>
      <c r="E1852" s="2" t="s">
        <v>16</v>
      </c>
      <c r="F1852" s="2" t="s">
        <v>17</v>
      </c>
      <c r="G1852" s="2" t="s">
        <v>14</v>
      </c>
      <c r="H1852" s="2" t="s">
        <v>18</v>
      </c>
      <c r="I1852" s="2">
        <f t="shared" si="56"/>
        <v>479</v>
      </c>
      <c r="J1852" s="2">
        <f t="shared" si="57"/>
        <v>12.598632298790109</v>
      </c>
    </row>
    <row r="1853" spans="1:10" x14ac:dyDescent="0.3">
      <c r="A1853" s="1">
        <v>45324</v>
      </c>
      <c r="B1853">
        <v>572.63</v>
      </c>
      <c r="C1853">
        <v>450.69</v>
      </c>
      <c r="D1853">
        <v>5</v>
      </c>
      <c r="E1853" s="2" t="s">
        <v>8</v>
      </c>
      <c r="F1853" s="2" t="s">
        <v>9</v>
      </c>
      <c r="G1853" s="2" t="s">
        <v>19</v>
      </c>
      <c r="H1853" s="2" t="s">
        <v>11</v>
      </c>
      <c r="I1853" s="2">
        <f t="shared" si="56"/>
        <v>121.94</v>
      </c>
      <c r="J1853" s="2">
        <f t="shared" si="57"/>
        <v>0.27056291464199339</v>
      </c>
    </row>
    <row r="1854" spans="1:10" x14ac:dyDescent="0.3">
      <c r="A1854" s="1">
        <v>45379</v>
      </c>
      <c r="B1854">
        <v>1075.8599999999999</v>
      </c>
      <c r="C1854">
        <v>330.25</v>
      </c>
      <c r="D1854">
        <v>3</v>
      </c>
      <c r="E1854" s="2" t="s">
        <v>8</v>
      </c>
      <c r="F1854" s="2" t="s">
        <v>17</v>
      </c>
      <c r="G1854" s="2" t="s">
        <v>10</v>
      </c>
      <c r="H1854" s="2" t="s">
        <v>20</v>
      </c>
      <c r="I1854" s="2">
        <f t="shared" si="56"/>
        <v>745.6099999999999</v>
      </c>
      <c r="J1854" s="2">
        <f t="shared" si="57"/>
        <v>2.257713853141559</v>
      </c>
    </row>
    <row r="1855" spans="1:10" x14ac:dyDescent="0.3">
      <c r="A1855" s="1">
        <v>45320</v>
      </c>
      <c r="B1855">
        <v>198.89</v>
      </c>
      <c r="C1855">
        <v>125.39</v>
      </c>
      <c r="D1855">
        <v>6</v>
      </c>
      <c r="E1855" s="2" t="s">
        <v>16</v>
      </c>
      <c r="F1855" s="2" t="s">
        <v>17</v>
      </c>
      <c r="G1855" s="2" t="s">
        <v>10</v>
      </c>
      <c r="H1855" s="2" t="s">
        <v>15</v>
      </c>
      <c r="I1855" s="2">
        <f t="shared" si="56"/>
        <v>73.499999999999986</v>
      </c>
      <c r="J1855" s="2">
        <f t="shared" si="57"/>
        <v>0.58617114602440379</v>
      </c>
    </row>
    <row r="1856" spans="1:10" x14ac:dyDescent="0.3">
      <c r="A1856" s="1">
        <v>45408</v>
      </c>
      <c r="B1856">
        <v>230.42</v>
      </c>
      <c r="C1856">
        <v>117.52</v>
      </c>
      <c r="D1856">
        <v>2</v>
      </c>
      <c r="E1856" s="2" t="s">
        <v>16</v>
      </c>
      <c r="F1856" s="2" t="s">
        <v>9</v>
      </c>
      <c r="G1856" s="2" t="s">
        <v>10</v>
      </c>
      <c r="H1856" s="2" t="s">
        <v>20</v>
      </c>
      <c r="I1856" s="2">
        <f t="shared" si="56"/>
        <v>112.89999999999999</v>
      </c>
      <c r="J1856" s="2">
        <f t="shared" si="57"/>
        <v>0.96068754254594957</v>
      </c>
    </row>
    <row r="1857" spans="1:10" x14ac:dyDescent="0.3">
      <c r="A1857" s="1">
        <v>45404</v>
      </c>
      <c r="B1857">
        <v>1460.18</v>
      </c>
      <c r="C1857">
        <v>385.49</v>
      </c>
      <c r="D1857">
        <v>7</v>
      </c>
      <c r="E1857" s="2" t="s">
        <v>8</v>
      </c>
      <c r="F1857" s="2" t="s">
        <v>17</v>
      </c>
      <c r="G1857" s="2" t="s">
        <v>10</v>
      </c>
      <c r="H1857" s="2" t="s">
        <v>15</v>
      </c>
      <c r="I1857" s="2">
        <f t="shared" si="56"/>
        <v>1074.69</v>
      </c>
      <c r="J1857" s="2">
        <f t="shared" si="57"/>
        <v>2.7878544190510781</v>
      </c>
    </row>
    <row r="1858" spans="1:10" x14ac:dyDescent="0.3">
      <c r="A1858" s="1">
        <v>45321</v>
      </c>
      <c r="B1858">
        <v>126.06</v>
      </c>
      <c r="C1858">
        <v>235.12</v>
      </c>
      <c r="D1858">
        <v>10</v>
      </c>
      <c r="E1858" s="2" t="s">
        <v>16</v>
      </c>
      <c r="F1858" s="2" t="s">
        <v>17</v>
      </c>
      <c r="G1858" s="2" t="s">
        <v>14</v>
      </c>
      <c r="H1858" s="2" t="s">
        <v>18</v>
      </c>
      <c r="I1858" s="2">
        <f t="shared" ref="I1858:I1921" si="58">B1858-C1858</f>
        <v>-109.06</v>
      </c>
      <c r="J1858" s="2">
        <f t="shared" ref="J1858:J1921" si="59">IF(C1858=0,0,I1858/C1858)</f>
        <v>-0.46384824770330046</v>
      </c>
    </row>
    <row r="1859" spans="1:10" x14ac:dyDescent="0.3">
      <c r="A1859" s="1">
        <v>45355</v>
      </c>
      <c r="B1859">
        <v>1039.1099999999999</v>
      </c>
      <c r="C1859">
        <v>176.43</v>
      </c>
      <c r="D1859">
        <v>6</v>
      </c>
      <c r="E1859" s="2" t="s">
        <v>13</v>
      </c>
      <c r="F1859" s="2" t="s">
        <v>9</v>
      </c>
      <c r="G1859" s="2" t="s">
        <v>19</v>
      </c>
      <c r="H1859" s="2" t="s">
        <v>20</v>
      </c>
      <c r="I1859" s="2">
        <f t="shared" si="58"/>
        <v>862.67999999999984</v>
      </c>
      <c r="J1859" s="2">
        <f t="shared" si="59"/>
        <v>4.8896446182621993</v>
      </c>
    </row>
    <row r="1860" spans="1:10" x14ac:dyDescent="0.3">
      <c r="A1860" s="1">
        <v>45370</v>
      </c>
      <c r="B1860">
        <v>1129.5899999999999</v>
      </c>
      <c r="C1860">
        <v>169.16</v>
      </c>
      <c r="D1860">
        <v>2</v>
      </c>
      <c r="E1860" s="2" t="s">
        <v>13</v>
      </c>
      <c r="F1860" s="2" t="s">
        <v>17</v>
      </c>
      <c r="G1860" s="2" t="s">
        <v>12</v>
      </c>
      <c r="H1860" s="2" t="s">
        <v>15</v>
      </c>
      <c r="I1860" s="2">
        <f t="shared" si="58"/>
        <v>960.43</v>
      </c>
      <c r="J1860" s="2">
        <f t="shared" si="59"/>
        <v>5.6776424686687159</v>
      </c>
    </row>
    <row r="1861" spans="1:10" x14ac:dyDescent="0.3">
      <c r="A1861" s="1">
        <v>45296</v>
      </c>
      <c r="B1861">
        <v>1266.69</v>
      </c>
      <c r="C1861">
        <v>399.52</v>
      </c>
      <c r="D1861">
        <v>5</v>
      </c>
      <c r="E1861" s="2" t="s">
        <v>16</v>
      </c>
      <c r="F1861" s="2" t="s">
        <v>9</v>
      </c>
      <c r="G1861" s="2" t="s">
        <v>10</v>
      </c>
      <c r="H1861" s="2" t="s">
        <v>20</v>
      </c>
      <c r="I1861" s="2">
        <f t="shared" si="58"/>
        <v>867.17000000000007</v>
      </c>
      <c r="J1861" s="2">
        <f t="shared" si="59"/>
        <v>2.1705296355626755</v>
      </c>
    </row>
    <row r="1862" spans="1:10" x14ac:dyDescent="0.3">
      <c r="A1862" s="1">
        <v>45323</v>
      </c>
      <c r="B1862">
        <v>342.81</v>
      </c>
      <c r="C1862">
        <v>45.06</v>
      </c>
      <c r="D1862">
        <v>9</v>
      </c>
      <c r="E1862" s="2" t="s">
        <v>16</v>
      </c>
      <c r="F1862" s="2" t="s">
        <v>9</v>
      </c>
      <c r="G1862" s="2" t="s">
        <v>19</v>
      </c>
      <c r="H1862" s="2" t="s">
        <v>11</v>
      </c>
      <c r="I1862" s="2">
        <f t="shared" si="58"/>
        <v>297.75</v>
      </c>
      <c r="J1862" s="2">
        <f t="shared" si="59"/>
        <v>6.6078561917443404</v>
      </c>
    </row>
    <row r="1863" spans="1:10" x14ac:dyDescent="0.3">
      <c r="A1863" s="1">
        <v>45316</v>
      </c>
      <c r="B1863">
        <v>1415.96</v>
      </c>
      <c r="C1863">
        <v>406.56</v>
      </c>
      <c r="D1863">
        <v>0</v>
      </c>
      <c r="E1863" s="2" t="s">
        <v>13</v>
      </c>
      <c r="F1863" s="2" t="s">
        <v>9</v>
      </c>
      <c r="G1863" s="2" t="s">
        <v>10</v>
      </c>
      <c r="H1863" s="2" t="s">
        <v>15</v>
      </c>
      <c r="I1863" s="2">
        <f t="shared" si="58"/>
        <v>1009.4000000000001</v>
      </c>
      <c r="J1863" s="2">
        <f t="shared" si="59"/>
        <v>2.4827823691460056</v>
      </c>
    </row>
    <row r="1864" spans="1:10" x14ac:dyDescent="0.3">
      <c r="A1864" s="1">
        <v>45352</v>
      </c>
      <c r="B1864">
        <v>107.16</v>
      </c>
      <c r="C1864">
        <v>31.31</v>
      </c>
      <c r="D1864">
        <v>0</v>
      </c>
      <c r="E1864" s="2" t="s">
        <v>16</v>
      </c>
      <c r="F1864" s="2" t="s">
        <v>17</v>
      </c>
      <c r="G1864" s="2" t="s">
        <v>19</v>
      </c>
      <c r="H1864" s="2" t="s">
        <v>18</v>
      </c>
      <c r="I1864" s="2">
        <f t="shared" si="58"/>
        <v>75.849999999999994</v>
      </c>
      <c r="J1864" s="2">
        <f t="shared" si="59"/>
        <v>2.4225487064835516</v>
      </c>
    </row>
    <row r="1865" spans="1:10" x14ac:dyDescent="0.3">
      <c r="A1865" s="1">
        <v>45358</v>
      </c>
      <c r="B1865">
        <v>691.29</v>
      </c>
      <c r="C1865">
        <v>329.48</v>
      </c>
      <c r="D1865">
        <v>9</v>
      </c>
      <c r="E1865" s="2" t="s">
        <v>13</v>
      </c>
      <c r="F1865" s="2" t="s">
        <v>9</v>
      </c>
      <c r="G1865" s="2" t="s">
        <v>10</v>
      </c>
      <c r="H1865" s="2" t="s">
        <v>20</v>
      </c>
      <c r="I1865" s="2">
        <f t="shared" si="58"/>
        <v>361.80999999999995</v>
      </c>
      <c r="J1865" s="2">
        <f t="shared" si="59"/>
        <v>1.0981243171057422</v>
      </c>
    </row>
    <row r="1866" spans="1:10" x14ac:dyDescent="0.3">
      <c r="A1866" s="1">
        <v>45305</v>
      </c>
      <c r="B1866">
        <v>1492.4</v>
      </c>
      <c r="C1866">
        <v>225.45</v>
      </c>
      <c r="D1866">
        <v>6</v>
      </c>
      <c r="E1866" s="2" t="s">
        <v>13</v>
      </c>
      <c r="F1866" s="2" t="s">
        <v>9</v>
      </c>
      <c r="G1866" s="2" t="s">
        <v>12</v>
      </c>
      <c r="H1866" s="2" t="s">
        <v>18</v>
      </c>
      <c r="I1866" s="2">
        <f t="shared" si="58"/>
        <v>1266.95</v>
      </c>
      <c r="J1866" s="2">
        <f t="shared" si="59"/>
        <v>5.6196495897094705</v>
      </c>
    </row>
    <row r="1867" spans="1:10" x14ac:dyDescent="0.3">
      <c r="A1867" s="1">
        <v>45403</v>
      </c>
      <c r="B1867">
        <v>1365.86</v>
      </c>
      <c r="C1867">
        <v>306.12</v>
      </c>
      <c r="D1867">
        <v>4</v>
      </c>
      <c r="E1867" s="2" t="s">
        <v>8</v>
      </c>
      <c r="F1867" s="2" t="s">
        <v>9</v>
      </c>
      <c r="G1867" s="2" t="s">
        <v>12</v>
      </c>
      <c r="H1867" s="2" t="s">
        <v>15</v>
      </c>
      <c r="I1867" s="2">
        <f t="shared" si="58"/>
        <v>1059.7399999999998</v>
      </c>
      <c r="J1867" s="2">
        <f t="shared" si="59"/>
        <v>3.4618450280935571</v>
      </c>
    </row>
    <row r="1868" spans="1:10" x14ac:dyDescent="0.3">
      <c r="A1868" s="1">
        <v>45373</v>
      </c>
      <c r="B1868">
        <v>804.83</v>
      </c>
      <c r="C1868">
        <v>189.55</v>
      </c>
      <c r="D1868">
        <v>10</v>
      </c>
      <c r="E1868" s="2" t="s">
        <v>13</v>
      </c>
      <c r="F1868" s="2" t="s">
        <v>9</v>
      </c>
      <c r="G1868" s="2" t="s">
        <v>10</v>
      </c>
      <c r="H1868" s="2" t="s">
        <v>20</v>
      </c>
      <c r="I1868" s="2">
        <f t="shared" si="58"/>
        <v>615.28</v>
      </c>
      <c r="J1868" s="2">
        <f t="shared" si="59"/>
        <v>3.2460036929570033</v>
      </c>
    </row>
    <row r="1869" spans="1:10" x14ac:dyDescent="0.3">
      <c r="A1869" s="1">
        <v>45391</v>
      </c>
      <c r="B1869">
        <v>1459.08</v>
      </c>
      <c r="C1869">
        <v>49.17</v>
      </c>
      <c r="D1869">
        <v>7</v>
      </c>
      <c r="E1869" s="2" t="s">
        <v>13</v>
      </c>
      <c r="F1869" s="2" t="s">
        <v>17</v>
      </c>
      <c r="G1869" s="2" t="s">
        <v>10</v>
      </c>
      <c r="H1869" s="2" t="s">
        <v>15</v>
      </c>
      <c r="I1869" s="2">
        <f t="shared" si="58"/>
        <v>1409.9099999999999</v>
      </c>
      <c r="J1869" s="2">
        <f t="shared" si="59"/>
        <v>28.674191580231845</v>
      </c>
    </row>
    <row r="1870" spans="1:10" x14ac:dyDescent="0.3">
      <c r="A1870" s="1">
        <v>45385</v>
      </c>
      <c r="B1870">
        <v>1102.1600000000001</v>
      </c>
      <c r="C1870">
        <v>104.85</v>
      </c>
      <c r="D1870">
        <v>3</v>
      </c>
      <c r="E1870" s="2" t="s">
        <v>16</v>
      </c>
      <c r="F1870" s="2" t="s">
        <v>17</v>
      </c>
      <c r="G1870" s="2" t="s">
        <v>14</v>
      </c>
      <c r="H1870" s="2" t="s">
        <v>20</v>
      </c>
      <c r="I1870" s="2">
        <f t="shared" si="58"/>
        <v>997.31000000000006</v>
      </c>
      <c r="J1870" s="2">
        <f t="shared" si="59"/>
        <v>9.5117787315212219</v>
      </c>
    </row>
    <row r="1871" spans="1:10" x14ac:dyDescent="0.3">
      <c r="A1871" s="1">
        <v>45304</v>
      </c>
      <c r="B1871">
        <v>1055.8699999999999</v>
      </c>
      <c r="C1871">
        <v>487.04</v>
      </c>
      <c r="D1871">
        <v>6</v>
      </c>
      <c r="E1871" s="2" t="s">
        <v>8</v>
      </c>
      <c r="F1871" s="2" t="s">
        <v>9</v>
      </c>
      <c r="G1871" s="2" t="s">
        <v>19</v>
      </c>
      <c r="H1871" s="2" t="s">
        <v>15</v>
      </c>
      <c r="I1871" s="2">
        <f t="shared" si="58"/>
        <v>568.82999999999993</v>
      </c>
      <c r="J1871" s="2">
        <f t="shared" si="59"/>
        <v>1.1679328186596583</v>
      </c>
    </row>
    <row r="1872" spans="1:10" x14ac:dyDescent="0.3">
      <c r="A1872" s="1">
        <v>45390</v>
      </c>
      <c r="B1872">
        <v>1007.31</v>
      </c>
      <c r="C1872">
        <v>311.54000000000002</v>
      </c>
      <c r="D1872">
        <v>10</v>
      </c>
      <c r="E1872" s="2" t="s">
        <v>13</v>
      </c>
      <c r="F1872" s="2" t="s">
        <v>17</v>
      </c>
      <c r="G1872" s="2" t="s">
        <v>14</v>
      </c>
      <c r="H1872" s="2" t="s">
        <v>11</v>
      </c>
      <c r="I1872" s="2">
        <f t="shared" si="58"/>
        <v>695.77</v>
      </c>
      <c r="J1872" s="2">
        <f t="shared" si="59"/>
        <v>2.2333247737048212</v>
      </c>
    </row>
    <row r="1873" spans="1:10" x14ac:dyDescent="0.3">
      <c r="A1873" s="1">
        <v>45378</v>
      </c>
      <c r="B1873">
        <v>502.99</v>
      </c>
      <c r="C1873">
        <v>499.89</v>
      </c>
      <c r="D1873">
        <v>4</v>
      </c>
      <c r="E1873" s="2" t="s">
        <v>13</v>
      </c>
      <c r="F1873" s="2" t="s">
        <v>9</v>
      </c>
      <c r="G1873" s="2" t="s">
        <v>14</v>
      </c>
      <c r="H1873" s="2" t="s">
        <v>18</v>
      </c>
      <c r="I1873" s="2">
        <f t="shared" si="58"/>
        <v>3.1000000000000227</v>
      </c>
      <c r="J1873" s="2">
        <f t="shared" si="59"/>
        <v>6.2013643001460781E-3</v>
      </c>
    </row>
    <row r="1874" spans="1:10" x14ac:dyDescent="0.3">
      <c r="A1874" s="1">
        <v>45358</v>
      </c>
      <c r="B1874">
        <v>881.93</v>
      </c>
      <c r="C1874">
        <v>171.47</v>
      </c>
      <c r="D1874">
        <v>7</v>
      </c>
      <c r="E1874" s="2" t="s">
        <v>13</v>
      </c>
      <c r="F1874" s="2" t="s">
        <v>9</v>
      </c>
      <c r="G1874" s="2" t="s">
        <v>19</v>
      </c>
      <c r="H1874" s="2" t="s">
        <v>15</v>
      </c>
      <c r="I1874" s="2">
        <f t="shared" si="58"/>
        <v>710.45999999999992</v>
      </c>
      <c r="J1874" s="2">
        <f t="shared" si="59"/>
        <v>4.1433486907330721</v>
      </c>
    </row>
    <row r="1875" spans="1:10" x14ac:dyDescent="0.3">
      <c r="A1875" s="1">
        <v>45326</v>
      </c>
      <c r="B1875">
        <v>325.74</v>
      </c>
      <c r="C1875">
        <v>285.43</v>
      </c>
      <c r="D1875">
        <v>3</v>
      </c>
      <c r="E1875" s="2" t="s">
        <v>13</v>
      </c>
      <c r="F1875" s="2" t="s">
        <v>9</v>
      </c>
      <c r="G1875" s="2" t="s">
        <v>19</v>
      </c>
      <c r="H1875" s="2" t="s">
        <v>11</v>
      </c>
      <c r="I1875" s="2">
        <f t="shared" si="58"/>
        <v>40.31</v>
      </c>
      <c r="J1875" s="2">
        <f t="shared" si="59"/>
        <v>0.14122551939179484</v>
      </c>
    </row>
    <row r="1876" spans="1:10" x14ac:dyDescent="0.3">
      <c r="A1876" s="1">
        <v>45382</v>
      </c>
      <c r="B1876">
        <v>1198.44</v>
      </c>
      <c r="C1876">
        <v>202.39</v>
      </c>
      <c r="D1876">
        <v>0</v>
      </c>
      <c r="E1876" s="2" t="s">
        <v>8</v>
      </c>
      <c r="F1876" s="2" t="s">
        <v>9</v>
      </c>
      <c r="G1876" s="2" t="s">
        <v>12</v>
      </c>
      <c r="H1876" s="2" t="s">
        <v>15</v>
      </c>
      <c r="I1876" s="2">
        <f t="shared" si="58"/>
        <v>996.05000000000007</v>
      </c>
      <c r="J1876" s="2">
        <f t="shared" si="59"/>
        <v>4.9214388062651322</v>
      </c>
    </row>
    <row r="1877" spans="1:10" x14ac:dyDescent="0.3">
      <c r="A1877" s="1">
        <v>45361</v>
      </c>
      <c r="B1877">
        <v>283.91000000000003</v>
      </c>
      <c r="C1877">
        <v>243.43</v>
      </c>
      <c r="D1877">
        <v>5</v>
      </c>
      <c r="E1877" s="2" t="s">
        <v>8</v>
      </c>
      <c r="F1877" s="2" t="s">
        <v>17</v>
      </c>
      <c r="G1877" s="2" t="s">
        <v>14</v>
      </c>
      <c r="H1877" s="2" t="s">
        <v>18</v>
      </c>
      <c r="I1877" s="2">
        <f t="shared" si="58"/>
        <v>40.480000000000018</v>
      </c>
      <c r="J1877" s="2">
        <f t="shared" si="59"/>
        <v>0.16629010393131502</v>
      </c>
    </row>
    <row r="1878" spans="1:10" x14ac:dyDescent="0.3">
      <c r="A1878" s="1">
        <v>45364</v>
      </c>
      <c r="B1878">
        <v>634.29999999999995</v>
      </c>
      <c r="C1878">
        <v>188.33</v>
      </c>
      <c r="D1878">
        <v>8</v>
      </c>
      <c r="E1878" s="2" t="s">
        <v>13</v>
      </c>
      <c r="F1878" s="2" t="s">
        <v>9</v>
      </c>
      <c r="G1878" s="2" t="s">
        <v>14</v>
      </c>
      <c r="H1878" s="2" t="s">
        <v>11</v>
      </c>
      <c r="I1878" s="2">
        <f t="shared" si="58"/>
        <v>445.96999999999991</v>
      </c>
      <c r="J1878" s="2">
        <f t="shared" si="59"/>
        <v>2.3680242128179252</v>
      </c>
    </row>
    <row r="1879" spans="1:10" x14ac:dyDescent="0.3">
      <c r="A1879" s="1">
        <v>45375</v>
      </c>
      <c r="B1879">
        <v>866.71</v>
      </c>
      <c r="C1879">
        <v>441.85</v>
      </c>
      <c r="D1879">
        <v>6</v>
      </c>
      <c r="E1879" s="2" t="s">
        <v>13</v>
      </c>
      <c r="F1879" s="2" t="s">
        <v>17</v>
      </c>
      <c r="G1879" s="2" t="s">
        <v>12</v>
      </c>
      <c r="H1879" s="2" t="s">
        <v>18</v>
      </c>
      <c r="I1879" s="2">
        <f t="shared" si="58"/>
        <v>424.86</v>
      </c>
      <c r="J1879" s="2">
        <f t="shared" si="59"/>
        <v>0.96154803666402622</v>
      </c>
    </row>
    <row r="1880" spans="1:10" x14ac:dyDescent="0.3">
      <c r="A1880" s="1">
        <v>45369</v>
      </c>
      <c r="B1880">
        <v>62.28</v>
      </c>
      <c r="C1880">
        <v>488.83</v>
      </c>
      <c r="D1880">
        <v>10</v>
      </c>
      <c r="E1880" s="2" t="s">
        <v>13</v>
      </c>
      <c r="F1880" s="2" t="s">
        <v>17</v>
      </c>
      <c r="G1880" s="2" t="s">
        <v>19</v>
      </c>
      <c r="H1880" s="2" t="s">
        <v>15</v>
      </c>
      <c r="I1880" s="2">
        <f t="shared" si="58"/>
        <v>-426.54999999999995</v>
      </c>
      <c r="J1880" s="2">
        <f t="shared" si="59"/>
        <v>-0.87259374424646596</v>
      </c>
    </row>
    <row r="1881" spans="1:10" x14ac:dyDescent="0.3">
      <c r="A1881" s="1">
        <v>45337</v>
      </c>
      <c r="B1881">
        <v>336.7</v>
      </c>
      <c r="C1881">
        <v>397.34</v>
      </c>
      <c r="D1881">
        <v>3</v>
      </c>
      <c r="E1881" s="2" t="s">
        <v>16</v>
      </c>
      <c r="F1881" s="2" t="s">
        <v>17</v>
      </c>
      <c r="G1881" s="2" t="s">
        <v>14</v>
      </c>
      <c r="H1881" s="2" t="s">
        <v>18</v>
      </c>
      <c r="I1881" s="2">
        <f t="shared" si="58"/>
        <v>-60.639999999999986</v>
      </c>
      <c r="J1881" s="2">
        <f t="shared" si="59"/>
        <v>-0.15261488901192929</v>
      </c>
    </row>
    <row r="1882" spans="1:10" x14ac:dyDescent="0.3">
      <c r="A1882" s="1">
        <v>45308</v>
      </c>
      <c r="B1882">
        <v>943.38</v>
      </c>
      <c r="C1882">
        <v>129.11000000000001</v>
      </c>
      <c r="D1882">
        <v>2</v>
      </c>
      <c r="E1882" s="2" t="s">
        <v>16</v>
      </c>
      <c r="F1882" s="2" t="s">
        <v>9</v>
      </c>
      <c r="G1882" s="2" t="s">
        <v>12</v>
      </c>
      <c r="H1882" s="2" t="s">
        <v>11</v>
      </c>
      <c r="I1882" s="2">
        <f t="shared" si="58"/>
        <v>814.27</v>
      </c>
      <c r="J1882" s="2">
        <f t="shared" si="59"/>
        <v>6.3067926574239017</v>
      </c>
    </row>
    <row r="1883" spans="1:10" x14ac:dyDescent="0.3">
      <c r="A1883" s="1">
        <v>45369</v>
      </c>
      <c r="B1883">
        <v>669.62</v>
      </c>
      <c r="C1883">
        <v>443.57</v>
      </c>
      <c r="D1883">
        <v>8</v>
      </c>
      <c r="E1883" s="2" t="s">
        <v>13</v>
      </c>
      <c r="F1883" s="2" t="s">
        <v>17</v>
      </c>
      <c r="G1883" s="2" t="s">
        <v>10</v>
      </c>
      <c r="H1883" s="2" t="s">
        <v>11</v>
      </c>
      <c r="I1883" s="2">
        <f t="shared" si="58"/>
        <v>226.05</v>
      </c>
      <c r="J1883" s="2">
        <f t="shared" si="59"/>
        <v>0.50961516784273064</v>
      </c>
    </row>
    <row r="1884" spans="1:10" x14ac:dyDescent="0.3">
      <c r="A1884" s="1">
        <v>45308</v>
      </c>
      <c r="B1884">
        <v>442.37</v>
      </c>
      <c r="C1884">
        <v>115.02</v>
      </c>
      <c r="D1884">
        <v>1</v>
      </c>
      <c r="E1884" s="2" t="s">
        <v>16</v>
      </c>
      <c r="F1884" s="2" t="s">
        <v>17</v>
      </c>
      <c r="G1884" s="2" t="s">
        <v>10</v>
      </c>
      <c r="H1884" s="2" t="s">
        <v>15</v>
      </c>
      <c r="I1884" s="2">
        <f t="shared" si="58"/>
        <v>327.35000000000002</v>
      </c>
      <c r="J1884" s="2">
        <f t="shared" si="59"/>
        <v>2.846026777951661</v>
      </c>
    </row>
    <row r="1885" spans="1:10" x14ac:dyDescent="0.3">
      <c r="A1885" s="1">
        <v>45397</v>
      </c>
      <c r="B1885">
        <v>953.95</v>
      </c>
      <c r="C1885">
        <v>404.02</v>
      </c>
      <c r="D1885">
        <v>0</v>
      </c>
      <c r="E1885" s="2" t="s">
        <v>16</v>
      </c>
      <c r="F1885" s="2" t="s">
        <v>17</v>
      </c>
      <c r="G1885" s="2" t="s">
        <v>12</v>
      </c>
      <c r="H1885" s="2" t="s">
        <v>20</v>
      </c>
      <c r="I1885" s="2">
        <f t="shared" si="58"/>
        <v>549.93000000000006</v>
      </c>
      <c r="J1885" s="2">
        <f t="shared" si="59"/>
        <v>1.3611454878471365</v>
      </c>
    </row>
    <row r="1886" spans="1:10" x14ac:dyDescent="0.3">
      <c r="A1886" s="1">
        <v>45301</v>
      </c>
      <c r="B1886">
        <v>629.78</v>
      </c>
      <c r="C1886">
        <v>298.88</v>
      </c>
      <c r="D1886">
        <v>7</v>
      </c>
      <c r="E1886" s="2" t="s">
        <v>16</v>
      </c>
      <c r="F1886" s="2" t="s">
        <v>17</v>
      </c>
      <c r="G1886" s="2" t="s">
        <v>10</v>
      </c>
      <c r="H1886" s="2" t="s">
        <v>20</v>
      </c>
      <c r="I1886" s="2">
        <f t="shared" si="58"/>
        <v>330.9</v>
      </c>
      <c r="J1886" s="2">
        <f t="shared" si="59"/>
        <v>1.1071332976445396</v>
      </c>
    </row>
    <row r="1887" spans="1:10" x14ac:dyDescent="0.3">
      <c r="A1887" s="1">
        <v>45404</v>
      </c>
      <c r="B1887">
        <v>571.61</v>
      </c>
      <c r="C1887">
        <v>32.97</v>
      </c>
      <c r="D1887">
        <v>7</v>
      </c>
      <c r="E1887" s="2" t="s">
        <v>8</v>
      </c>
      <c r="F1887" s="2" t="s">
        <v>9</v>
      </c>
      <c r="G1887" s="2" t="s">
        <v>10</v>
      </c>
      <c r="H1887" s="2" t="s">
        <v>15</v>
      </c>
      <c r="I1887" s="2">
        <f t="shared" si="58"/>
        <v>538.64</v>
      </c>
      <c r="J1887" s="2">
        <f t="shared" si="59"/>
        <v>16.337276311798604</v>
      </c>
    </row>
    <row r="1888" spans="1:10" x14ac:dyDescent="0.3">
      <c r="A1888" s="1">
        <v>45381</v>
      </c>
      <c r="B1888">
        <v>1372.29</v>
      </c>
      <c r="C1888">
        <v>11.5</v>
      </c>
      <c r="D1888">
        <v>10</v>
      </c>
      <c r="E1888" s="2" t="s">
        <v>8</v>
      </c>
      <c r="F1888" s="2" t="s">
        <v>9</v>
      </c>
      <c r="G1888" s="2" t="s">
        <v>19</v>
      </c>
      <c r="H1888" s="2" t="s">
        <v>15</v>
      </c>
      <c r="I1888" s="2">
        <f t="shared" si="58"/>
        <v>1360.79</v>
      </c>
      <c r="J1888" s="2">
        <f t="shared" si="59"/>
        <v>118.32956521739131</v>
      </c>
    </row>
    <row r="1889" spans="1:10" x14ac:dyDescent="0.3">
      <c r="A1889" s="1">
        <v>45296</v>
      </c>
      <c r="B1889">
        <v>1439.94</v>
      </c>
      <c r="C1889">
        <v>20.309999999999999</v>
      </c>
      <c r="D1889">
        <v>1</v>
      </c>
      <c r="E1889" s="2" t="s">
        <v>13</v>
      </c>
      <c r="F1889" s="2" t="s">
        <v>17</v>
      </c>
      <c r="G1889" s="2" t="s">
        <v>12</v>
      </c>
      <c r="H1889" s="2" t="s">
        <v>11</v>
      </c>
      <c r="I1889" s="2">
        <f t="shared" si="58"/>
        <v>1419.63</v>
      </c>
      <c r="J1889" s="2">
        <f t="shared" si="59"/>
        <v>69.898079763663233</v>
      </c>
    </row>
    <row r="1890" spans="1:10" x14ac:dyDescent="0.3">
      <c r="A1890" s="1">
        <v>45392</v>
      </c>
      <c r="B1890">
        <v>687.89</v>
      </c>
      <c r="C1890">
        <v>82.87</v>
      </c>
      <c r="D1890">
        <v>10</v>
      </c>
      <c r="E1890" s="2" t="s">
        <v>13</v>
      </c>
      <c r="F1890" s="2" t="s">
        <v>17</v>
      </c>
      <c r="G1890" s="2" t="s">
        <v>19</v>
      </c>
      <c r="H1890" s="2" t="s">
        <v>15</v>
      </c>
      <c r="I1890" s="2">
        <f t="shared" si="58"/>
        <v>605.02</v>
      </c>
      <c r="J1890" s="2">
        <f t="shared" si="59"/>
        <v>7.3008326294195722</v>
      </c>
    </row>
    <row r="1891" spans="1:10" x14ac:dyDescent="0.3">
      <c r="A1891" s="1">
        <v>45318</v>
      </c>
      <c r="B1891">
        <v>1490.99</v>
      </c>
      <c r="C1891">
        <v>263.20999999999998</v>
      </c>
      <c r="D1891">
        <v>8</v>
      </c>
      <c r="E1891" s="2" t="s">
        <v>16</v>
      </c>
      <c r="F1891" s="2" t="s">
        <v>9</v>
      </c>
      <c r="G1891" s="2" t="s">
        <v>14</v>
      </c>
      <c r="H1891" s="2" t="s">
        <v>15</v>
      </c>
      <c r="I1891" s="2">
        <f t="shared" si="58"/>
        <v>1227.78</v>
      </c>
      <c r="J1891" s="2">
        <f t="shared" si="59"/>
        <v>4.6646404012005629</v>
      </c>
    </row>
    <row r="1892" spans="1:10" x14ac:dyDescent="0.3">
      <c r="A1892" s="1">
        <v>45359</v>
      </c>
      <c r="B1892">
        <v>1087.6099999999999</v>
      </c>
      <c r="C1892">
        <v>404.87</v>
      </c>
      <c r="D1892">
        <v>7</v>
      </c>
      <c r="E1892" s="2" t="s">
        <v>13</v>
      </c>
      <c r="F1892" s="2" t="s">
        <v>17</v>
      </c>
      <c r="G1892" s="2" t="s">
        <v>10</v>
      </c>
      <c r="H1892" s="2" t="s">
        <v>18</v>
      </c>
      <c r="I1892" s="2">
        <f t="shared" si="58"/>
        <v>682.7399999999999</v>
      </c>
      <c r="J1892" s="2">
        <f t="shared" si="59"/>
        <v>1.6863190653790103</v>
      </c>
    </row>
    <row r="1893" spans="1:10" x14ac:dyDescent="0.3">
      <c r="A1893" s="1">
        <v>45302</v>
      </c>
      <c r="B1893">
        <v>1400.47</v>
      </c>
      <c r="C1893">
        <v>178.28</v>
      </c>
      <c r="D1893">
        <v>1</v>
      </c>
      <c r="E1893" s="2" t="s">
        <v>8</v>
      </c>
      <c r="F1893" s="2" t="s">
        <v>17</v>
      </c>
      <c r="G1893" s="2" t="s">
        <v>14</v>
      </c>
      <c r="H1893" s="2" t="s">
        <v>18</v>
      </c>
      <c r="I1893" s="2">
        <f t="shared" si="58"/>
        <v>1222.19</v>
      </c>
      <c r="J1893" s="2">
        <f t="shared" si="59"/>
        <v>6.8554520978236484</v>
      </c>
    </row>
    <row r="1894" spans="1:10" x14ac:dyDescent="0.3">
      <c r="A1894" s="1">
        <v>45367</v>
      </c>
      <c r="B1894">
        <v>362.23</v>
      </c>
      <c r="C1894">
        <v>56.51</v>
      </c>
      <c r="D1894">
        <v>0</v>
      </c>
      <c r="E1894" s="2" t="s">
        <v>16</v>
      </c>
      <c r="F1894" s="2" t="s">
        <v>9</v>
      </c>
      <c r="G1894" s="2" t="s">
        <v>10</v>
      </c>
      <c r="H1894" s="2" t="s">
        <v>20</v>
      </c>
      <c r="I1894" s="2">
        <f t="shared" si="58"/>
        <v>305.72000000000003</v>
      </c>
      <c r="J1894" s="2">
        <f t="shared" si="59"/>
        <v>5.4100159263847116</v>
      </c>
    </row>
    <row r="1895" spans="1:10" x14ac:dyDescent="0.3">
      <c r="A1895" s="1">
        <v>45326</v>
      </c>
      <c r="B1895">
        <v>953.84</v>
      </c>
      <c r="C1895">
        <v>239.39</v>
      </c>
      <c r="D1895">
        <v>8</v>
      </c>
      <c r="E1895" s="2" t="s">
        <v>8</v>
      </c>
      <c r="F1895" s="2" t="s">
        <v>9</v>
      </c>
      <c r="G1895" s="2" t="s">
        <v>12</v>
      </c>
      <c r="H1895" s="2" t="s">
        <v>18</v>
      </c>
      <c r="I1895" s="2">
        <f t="shared" si="58"/>
        <v>714.45</v>
      </c>
      <c r="J1895" s="2">
        <f t="shared" si="59"/>
        <v>2.9844605037804421</v>
      </c>
    </row>
    <row r="1896" spans="1:10" x14ac:dyDescent="0.3">
      <c r="A1896" s="1">
        <v>45364</v>
      </c>
      <c r="B1896">
        <v>998.14</v>
      </c>
      <c r="C1896">
        <v>15.66</v>
      </c>
      <c r="D1896">
        <v>1</v>
      </c>
      <c r="E1896" s="2" t="s">
        <v>13</v>
      </c>
      <c r="F1896" s="2" t="s">
        <v>17</v>
      </c>
      <c r="G1896" s="2" t="s">
        <v>14</v>
      </c>
      <c r="H1896" s="2" t="s">
        <v>15</v>
      </c>
      <c r="I1896" s="2">
        <f t="shared" si="58"/>
        <v>982.48</v>
      </c>
      <c r="J1896" s="2">
        <f t="shared" si="59"/>
        <v>62.738186462324393</v>
      </c>
    </row>
    <row r="1897" spans="1:10" x14ac:dyDescent="0.3">
      <c r="A1897" s="1">
        <v>45357</v>
      </c>
      <c r="B1897">
        <v>836.23</v>
      </c>
      <c r="C1897">
        <v>106.38</v>
      </c>
      <c r="D1897">
        <v>6</v>
      </c>
      <c r="E1897" s="2" t="s">
        <v>13</v>
      </c>
      <c r="F1897" s="2" t="s">
        <v>9</v>
      </c>
      <c r="G1897" s="2" t="s">
        <v>10</v>
      </c>
      <c r="H1897" s="2" t="s">
        <v>18</v>
      </c>
      <c r="I1897" s="2">
        <f t="shared" si="58"/>
        <v>729.85</v>
      </c>
      <c r="J1897" s="2">
        <f t="shared" si="59"/>
        <v>6.8607821018988533</v>
      </c>
    </row>
    <row r="1898" spans="1:10" x14ac:dyDescent="0.3">
      <c r="A1898" s="1">
        <v>45407</v>
      </c>
      <c r="B1898">
        <v>1194.08</v>
      </c>
      <c r="C1898">
        <v>163.95</v>
      </c>
      <c r="D1898">
        <v>1</v>
      </c>
      <c r="E1898" s="2" t="s">
        <v>16</v>
      </c>
      <c r="F1898" s="2" t="s">
        <v>9</v>
      </c>
      <c r="G1898" s="2" t="s">
        <v>12</v>
      </c>
      <c r="H1898" s="2" t="s">
        <v>20</v>
      </c>
      <c r="I1898" s="2">
        <f t="shared" si="58"/>
        <v>1030.1299999999999</v>
      </c>
      <c r="J1898" s="2">
        <f t="shared" si="59"/>
        <v>6.2831960963708449</v>
      </c>
    </row>
    <row r="1899" spans="1:10" x14ac:dyDescent="0.3">
      <c r="A1899" s="1">
        <v>45360</v>
      </c>
      <c r="B1899">
        <v>340.91</v>
      </c>
      <c r="C1899">
        <v>423.77</v>
      </c>
      <c r="D1899">
        <v>6</v>
      </c>
      <c r="E1899" s="2" t="s">
        <v>16</v>
      </c>
      <c r="F1899" s="2" t="s">
        <v>17</v>
      </c>
      <c r="G1899" s="2" t="s">
        <v>12</v>
      </c>
      <c r="H1899" s="2" t="s">
        <v>20</v>
      </c>
      <c r="I1899" s="2">
        <f t="shared" si="58"/>
        <v>-82.859999999999957</v>
      </c>
      <c r="J1899" s="2">
        <f t="shared" si="59"/>
        <v>-0.19553059442622167</v>
      </c>
    </row>
    <row r="1900" spans="1:10" x14ac:dyDescent="0.3">
      <c r="A1900" s="1">
        <v>45369</v>
      </c>
      <c r="B1900">
        <v>1269.27</v>
      </c>
      <c r="C1900">
        <v>287.13</v>
      </c>
      <c r="D1900">
        <v>5</v>
      </c>
      <c r="E1900" s="2" t="s">
        <v>8</v>
      </c>
      <c r="F1900" s="2" t="s">
        <v>17</v>
      </c>
      <c r="G1900" s="2" t="s">
        <v>12</v>
      </c>
      <c r="H1900" s="2" t="s">
        <v>15</v>
      </c>
      <c r="I1900" s="2">
        <f t="shared" si="58"/>
        <v>982.14</v>
      </c>
      <c r="J1900" s="2">
        <f t="shared" si="59"/>
        <v>3.4205412182635042</v>
      </c>
    </row>
    <row r="1901" spans="1:10" x14ac:dyDescent="0.3">
      <c r="A1901" s="1">
        <v>45307</v>
      </c>
      <c r="B1901">
        <v>174.88</v>
      </c>
      <c r="C1901">
        <v>96.32</v>
      </c>
      <c r="D1901">
        <v>0</v>
      </c>
      <c r="E1901" s="2" t="s">
        <v>8</v>
      </c>
      <c r="F1901" s="2" t="s">
        <v>9</v>
      </c>
      <c r="G1901" s="2" t="s">
        <v>19</v>
      </c>
      <c r="H1901" s="2" t="s">
        <v>15</v>
      </c>
      <c r="I1901" s="2">
        <f t="shared" si="58"/>
        <v>78.56</v>
      </c>
      <c r="J1901" s="2">
        <f t="shared" si="59"/>
        <v>0.8156146179401994</v>
      </c>
    </row>
    <row r="1902" spans="1:10" x14ac:dyDescent="0.3">
      <c r="A1902" s="1">
        <v>45299</v>
      </c>
      <c r="B1902">
        <v>395.95</v>
      </c>
      <c r="C1902">
        <v>451.61</v>
      </c>
      <c r="D1902">
        <v>4</v>
      </c>
      <c r="E1902" s="2" t="s">
        <v>13</v>
      </c>
      <c r="F1902" s="2" t="s">
        <v>9</v>
      </c>
      <c r="G1902" s="2" t="s">
        <v>10</v>
      </c>
      <c r="H1902" s="2" t="s">
        <v>15</v>
      </c>
      <c r="I1902" s="2">
        <f t="shared" si="58"/>
        <v>-55.660000000000025</v>
      </c>
      <c r="J1902" s="2">
        <f t="shared" si="59"/>
        <v>-0.12324793516529754</v>
      </c>
    </row>
    <row r="1903" spans="1:10" x14ac:dyDescent="0.3">
      <c r="A1903" s="1">
        <v>45312</v>
      </c>
      <c r="B1903">
        <v>1387.63</v>
      </c>
      <c r="C1903">
        <v>206.44</v>
      </c>
      <c r="D1903">
        <v>9</v>
      </c>
      <c r="E1903" s="2" t="s">
        <v>8</v>
      </c>
      <c r="F1903" s="2" t="s">
        <v>17</v>
      </c>
      <c r="G1903" s="2" t="s">
        <v>19</v>
      </c>
      <c r="H1903" s="2" t="s">
        <v>20</v>
      </c>
      <c r="I1903" s="2">
        <f t="shared" si="58"/>
        <v>1181.19</v>
      </c>
      <c r="J1903" s="2">
        <f t="shared" si="59"/>
        <v>5.7217109087386167</v>
      </c>
    </row>
    <row r="1904" spans="1:10" x14ac:dyDescent="0.3">
      <c r="A1904" s="1">
        <v>45302</v>
      </c>
      <c r="B1904">
        <v>338.93</v>
      </c>
      <c r="C1904">
        <v>20.77</v>
      </c>
      <c r="D1904">
        <v>7</v>
      </c>
      <c r="E1904" s="2" t="s">
        <v>16</v>
      </c>
      <c r="F1904" s="2" t="s">
        <v>9</v>
      </c>
      <c r="G1904" s="2" t="s">
        <v>10</v>
      </c>
      <c r="H1904" s="2" t="s">
        <v>20</v>
      </c>
      <c r="I1904" s="2">
        <f t="shared" si="58"/>
        <v>318.16000000000003</v>
      </c>
      <c r="J1904" s="2">
        <f t="shared" si="59"/>
        <v>15.318247472315841</v>
      </c>
    </row>
    <row r="1905" spans="1:10" x14ac:dyDescent="0.3">
      <c r="A1905" s="1">
        <v>45322</v>
      </c>
      <c r="B1905">
        <v>124.77</v>
      </c>
      <c r="C1905">
        <v>303.61</v>
      </c>
      <c r="D1905">
        <v>1</v>
      </c>
      <c r="E1905" s="2" t="s">
        <v>13</v>
      </c>
      <c r="F1905" s="2" t="s">
        <v>9</v>
      </c>
      <c r="G1905" s="2" t="s">
        <v>10</v>
      </c>
      <c r="H1905" s="2" t="s">
        <v>18</v>
      </c>
      <c r="I1905" s="2">
        <f t="shared" si="58"/>
        <v>-178.84000000000003</v>
      </c>
      <c r="J1905" s="2">
        <f t="shared" si="59"/>
        <v>-0.5890451566153948</v>
      </c>
    </row>
    <row r="1906" spans="1:10" x14ac:dyDescent="0.3">
      <c r="A1906" s="1">
        <v>45332</v>
      </c>
      <c r="B1906">
        <v>263.24</v>
      </c>
      <c r="C1906">
        <v>40.729999999999997</v>
      </c>
      <c r="D1906">
        <v>6</v>
      </c>
      <c r="E1906" s="2" t="s">
        <v>13</v>
      </c>
      <c r="F1906" s="2" t="s">
        <v>9</v>
      </c>
      <c r="G1906" s="2" t="s">
        <v>19</v>
      </c>
      <c r="H1906" s="2" t="s">
        <v>18</v>
      </c>
      <c r="I1906" s="2">
        <f t="shared" si="58"/>
        <v>222.51000000000002</v>
      </c>
      <c r="J1906" s="2">
        <f t="shared" si="59"/>
        <v>5.4630493493739269</v>
      </c>
    </row>
    <row r="1907" spans="1:10" x14ac:dyDescent="0.3">
      <c r="A1907" s="1">
        <v>45363</v>
      </c>
      <c r="B1907">
        <v>1185.3599999999999</v>
      </c>
      <c r="C1907">
        <v>129.41999999999999</v>
      </c>
      <c r="D1907">
        <v>2</v>
      </c>
      <c r="E1907" s="2" t="s">
        <v>16</v>
      </c>
      <c r="F1907" s="2" t="s">
        <v>17</v>
      </c>
      <c r="G1907" s="2" t="s">
        <v>12</v>
      </c>
      <c r="H1907" s="2" t="s">
        <v>11</v>
      </c>
      <c r="I1907" s="2">
        <f t="shared" si="58"/>
        <v>1055.9399999999998</v>
      </c>
      <c r="J1907" s="2">
        <f t="shared" si="59"/>
        <v>8.1590171534538705</v>
      </c>
    </row>
    <row r="1908" spans="1:10" x14ac:dyDescent="0.3">
      <c r="A1908" s="1">
        <v>45390</v>
      </c>
      <c r="B1908">
        <v>1271</v>
      </c>
      <c r="C1908">
        <v>280.11</v>
      </c>
      <c r="D1908">
        <v>6</v>
      </c>
      <c r="E1908" s="2" t="s">
        <v>16</v>
      </c>
      <c r="F1908" s="2" t="s">
        <v>9</v>
      </c>
      <c r="G1908" s="2" t="s">
        <v>12</v>
      </c>
      <c r="H1908" s="2" t="s">
        <v>15</v>
      </c>
      <c r="I1908" s="2">
        <f t="shared" si="58"/>
        <v>990.89</v>
      </c>
      <c r="J1908" s="2">
        <f t="shared" si="59"/>
        <v>3.5375031237728032</v>
      </c>
    </row>
    <row r="1909" spans="1:10" x14ac:dyDescent="0.3">
      <c r="A1909" s="1">
        <v>45397</v>
      </c>
      <c r="B1909">
        <v>791.76</v>
      </c>
      <c r="C1909">
        <v>156.96</v>
      </c>
      <c r="D1909">
        <v>9</v>
      </c>
      <c r="E1909" s="2" t="s">
        <v>8</v>
      </c>
      <c r="F1909" s="2" t="s">
        <v>9</v>
      </c>
      <c r="G1909" s="2" t="s">
        <v>12</v>
      </c>
      <c r="H1909" s="2" t="s">
        <v>11</v>
      </c>
      <c r="I1909" s="2">
        <f t="shared" si="58"/>
        <v>634.79999999999995</v>
      </c>
      <c r="J1909" s="2">
        <f t="shared" si="59"/>
        <v>4.0443425076452595</v>
      </c>
    </row>
    <row r="1910" spans="1:10" x14ac:dyDescent="0.3">
      <c r="A1910" s="1">
        <v>45364</v>
      </c>
      <c r="B1910">
        <v>454.89</v>
      </c>
      <c r="C1910">
        <v>450.2</v>
      </c>
      <c r="D1910">
        <v>9</v>
      </c>
      <c r="E1910" s="2" t="s">
        <v>16</v>
      </c>
      <c r="F1910" s="2" t="s">
        <v>17</v>
      </c>
      <c r="G1910" s="2" t="s">
        <v>12</v>
      </c>
      <c r="H1910" s="2" t="s">
        <v>18</v>
      </c>
      <c r="I1910" s="2">
        <f t="shared" si="58"/>
        <v>4.6899999999999977</v>
      </c>
      <c r="J1910" s="2">
        <f t="shared" si="59"/>
        <v>1.0417592181252771E-2</v>
      </c>
    </row>
    <row r="1911" spans="1:10" x14ac:dyDescent="0.3">
      <c r="A1911" s="1">
        <v>45400</v>
      </c>
      <c r="B1911">
        <v>730.02</v>
      </c>
      <c r="C1911">
        <v>79.89</v>
      </c>
      <c r="D1911">
        <v>10</v>
      </c>
      <c r="E1911" s="2" t="s">
        <v>8</v>
      </c>
      <c r="F1911" s="2" t="s">
        <v>9</v>
      </c>
      <c r="G1911" s="2" t="s">
        <v>12</v>
      </c>
      <c r="H1911" s="2" t="s">
        <v>20</v>
      </c>
      <c r="I1911" s="2">
        <f t="shared" si="58"/>
        <v>650.13</v>
      </c>
      <c r="J1911" s="2">
        <f t="shared" si="59"/>
        <v>8.1378144949305291</v>
      </c>
    </row>
    <row r="1912" spans="1:10" x14ac:dyDescent="0.3">
      <c r="A1912" s="1">
        <v>45333</v>
      </c>
      <c r="B1912">
        <v>1013.78</v>
      </c>
      <c r="C1912">
        <v>99.21</v>
      </c>
      <c r="D1912">
        <v>4</v>
      </c>
      <c r="E1912" s="2" t="s">
        <v>16</v>
      </c>
      <c r="F1912" s="2" t="s">
        <v>9</v>
      </c>
      <c r="G1912" s="2" t="s">
        <v>14</v>
      </c>
      <c r="H1912" s="2" t="s">
        <v>15</v>
      </c>
      <c r="I1912" s="2">
        <f t="shared" si="58"/>
        <v>914.56999999999994</v>
      </c>
      <c r="J1912" s="2">
        <f t="shared" si="59"/>
        <v>9.218526358230017</v>
      </c>
    </row>
    <row r="1913" spans="1:10" x14ac:dyDescent="0.3">
      <c r="A1913" s="1">
        <v>45392</v>
      </c>
      <c r="B1913">
        <v>428.06</v>
      </c>
      <c r="C1913">
        <v>471.31</v>
      </c>
      <c r="D1913">
        <v>8</v>
      </c>
      <c r="E1913" s="2" t="s">
        <v>16</v>
      </c>
      <c r="F1913" s="2" t="s">
        <v>9</v>
      </c>
      <c r="G1913" s="2" t="s">
        <v>19</v>
      </c>
      <c r="H1913" s="2" t="s">
        <v>18</v>
      </c>
      <c r="I1913" s="2">
        <f t="shared" si="58"/>
        <v>-43.25</v>
      </c>
      <c r="J1913" s="2">
        <f t="shared" si="59"/>
        <v>-9.1765504657231975E-2</v>
      </c>
    </row>
    <row r="1914" spans="1:10" x14ac:dyDescent="0.3">
      <c r="A1914" s="1">
        <v>45354</v>
      </c>
      <c r="B1914">
        <v>478.37</v>
      </c>
      <c r="C1914">
        <v>262.20999999999998</v>
      </c>
      <c r="D1914">
        <v>10</v>
      </c>
      <c r="E1914" s="2" t="s">
        <v>13</v>
      </c>
      <c r="F1914" s="2" t="s">
        <v>17</v>
      </c>
      <c r="G1914" s="2" t="s">
        <v>12</v>
      </c>
      <c r="H1914" s="2" t="s">
        <v>18</v>
      </c>
      <c r="I1914" s="2">
        <f t="shared" si="58"/>
        <v>216.16000000000003</v>
      </c>
      <c r="J1914" s="2">
        <f t="shared" si="59"/>
        <v>0.82437740742153254</v>
      </c>
    </row>
    <row r="1915" spans="1:10" x14ac:dyDescent="0.3">
      <c r="A1915" s="1">
        <v>45391</v>
      </c>
      <c r="B1915">
        <v>288.18</v>
      </c>
      <c r="C1915">
        <v>334.29</v>
      </c>
      <c r="D1915">
        <v>9</v>
      </c>
      <c r="E1915" s="2" t="s">
        <v>16</v>
      </c>
      <c r="F1915" s="2" t="s">
        <v>9</v>
      </c>
      <c r="G1915" s="2" t="s">
        <v>19</v>
      </c>
      <c r="H1915" s="2" t="s">
        <v>20</v>
      </c>
      <c r="I1915" s="2">
        <f t="shared" si="58"/>
        <v>-46.110000000000014</v>
      </c>
      <c r="J1915" s="2">
        <f t="shared" si="59"/>
        <v>-0.1379341290496276</v>
      </c>
    </row>
    <row r="1916" spans="1:10" x14ac:dyDescent="0.3">
      <c r="A1916" s="1">
        <v>45402</v>
      </c>
      <c r="B1916">
        <v>1288.08</v>
      </c>
      <c r="C1916">
        <v>120.04</v>
      </c>
      <c r="D1916">
        <v>0</v>
      </c>
      <c r="E1916" s="2" t="s">
        <v>13</v>
      </c>
      <c r="F1916" s="2" t="s">
        <v>17</v>
      </c>
      <c r="G1916" s="2" t="s">
        <v>12</v>
      </c>
      <c r="H1916" s="2" t="s">
        <v>18</v>
      </c>
      <c r="I1916" s="2">
        <f t="shared" si="58"/>
        <v>1168.04</v>
      </c>
      <c r="J1916" s="2">
        <f t="shared" si="59"/>
        <v>9.7304231922692423</v>
      </c>
    </row>
    <row r="1917" spans="1:10" x14ac:dyDescent="0.3">
      <c r="A1917" s="1">
        <v>45370</v>
      </c>
      <c r="B1917">
        <v>672.95</v>
      </c>
      <c r="C1917">
        <v>365.51</v>
      </c>
      <c r="D1917">
        <v>10</v>
      </c>
      <c r="E1917" s="2" t="s">
        <v>13</v>
      </c>
      <c r="F1917" s="2" t="s">
        <v>9</v>
      </c>
      <c r="G1917" s="2" t="s">
        <v>10</v>
      </c>
      <c r="H1917" s="2" t="s">
        <v>18</v>
      </c>
      <c r="I1917" s="2">
        <f t="shared" si="58"/>
        <v>307.44000000000005</v>
      </c>
      <c r="J1917" s="2">
        <f t="shared" si="59"/>
        <v>0.84112609778118264</v>
      </c>
    </row>
    <row r="1918" spans="1:10" x14ac:dyDescent="0.3">
      <c r="A1918" s="1">
        <v>45386</v>
      </c>
      <c r="B1918">
        <v>754.18</v>
      </c>
      <c r="C1918">
        <v>312.94</v>
      </c>
      <c r="D1918">
        <v>2</v>
      </c>
      <c r="E1918" s="2" t="s">
        <v>8</v>
      </c>
      <c r="F1918" s="2" t="s">
        <v>9</v>
      </c>
      <c r="G1918" s="2" t="s">
        <v>14</v>
      </c>
      <c r="H1918" s="2" t="s">
        <v>20</v>
      </c>
      <c r="I1918" s="2">
        <f t="shared" si="58"/>
        <v>441.23999999999995</v>
      </c>
      <c r="J1918" s="2">
        <f t="shared" si="59"/>
        <v>1.4099827442960311</v>
      </c>
    </row>
    <row r="1919" spans="1:10" x14ac:dyDescent="0.3">
      <c r="A1919" s="1">
        <v>45304</v>
      </c>
      <c r="B1919">
        <v>120.4</v>
      </c>
      <c r="C1919">
        <v>399.84</v>
      </c>
      <c r="D1919">
        <v>2</v>
      </c>
      <c r="E1919" s="2" t="s">
        <v>16</v>
      </c>
      <c r="F1919" s="2" t="s">
        <v>9</v>
      </c>
      <c r="G1919" s="2" t="s">
        <v>19</v>
      </c>
      <c r="H1919" s="2" t="s">
        <v>11</v>
      </c>
      <c r="I1919" s="2">
        <f t="shared" si="58"/>
        <v>-279.43999999999994</v>
      </c>
      <c r="J1919" s="2">
        <f t="shared" si="59"/>
        <v>-0.69887955182072814</v>
      </c>
    </row>
    <row r="1920" spans="1:10" x14ac:dyDescent="0.3">
      <c r="A1920" s="1">
        <v>45400</v>
      </c>
      <c r="B1920">
        <v>933.41</v>
      </c>
      <c r="C1920">
        <v>42.85</v>
      </c>
      <c r="D1920">
        <v>3</v>
      </c>
      <c r="E1920" s="2" t="s">
        <v>8</v>
      </c>
      <c r="F1920" s="2" t="s">
        <v>9</v>
      </c>
      <c r="G1920" s="2" t="s">
        <v>10</v>
      </c>
      <c r="H1920" s="2" t="s">
        <v>11</v>
      </c>
      <c r="I1920" s="2">
        <f t="shared" si="58"/>
        <v>890.56</v>
      </c>
      <c r="J1920" s="2">
        <f t="shared" si="59"/>
        <v>20.783197199533255</v>
      </c>
    </row>
    <row r="1921" spans="1:10" x14ac:dyDescent="0.3">
      <c r="A1921" s="1">
        <v>45385</v>
      </c>
      <c r="B1921">
        <v>756.24</v>
      </c>
      <c r="C1921">
        <v>443.04</v>
      </c>
      <c r="D1921">
        <v>3</v>
      </c>
      <c r="E1921" s="2" t="s">
        <v>13</v>
      </c>
      <c r="F1921" s="2" t="s">
        <v>17</v>
      </c>
      <c r="G1921" s="2" t="s">
        <v>14</v>
      </c>
      <c r="H1921" s="2" t="s">
        <v>20</v>
      </c>
      <c r="I1921" s="2">
        <f t="shared" si="58"/>
        <v>313.2</v>
      </c>
      <c r="J1921" s="2">
        <f t="shared" si="59"/>
        <v>0.70693391115926318</v>
      </c>
    </row>
    <row r="1922" spans="1:10" x14ac:dyDescent="0.3">
      <c r="A1922" s="1">
        <v>45346</v>
      </c>
      <c r="B1922">
        <v>409.5</v>
      </c>
      <c r="C1922">
        <v>487.65</v>
      </c>
      <c r="D1922">
        <v>2</v>
      </c>
      <c r="E1922" s="2" t="s">
        <v>8</v>
      </c>
      <c r="F1922" s="2" t="s">
        <v>17</v>
      </c>
      <c r="G1922" s="2" t="s">
        <v>12</v>
      </c>
      <c r="H1922" s="2" t="s">
        <v>11</v>
      </c>
      <c r="I1922" s="2">
        <f t="shared" ref="I1922:I1985" si="60">B1922-C1922</f>
        <v>-78.149999999999977</v>
      </c>
      <c r="J1922" s="2">
        <f t="shared" ref="J1922:J1985" si="61">IF(C1922=0,0,I1922/C1922)</f>
        <v>-0.1602583820362965</v>
      </c>
    </row>
    <row r="1923" spans="1:10" x14ac:dyDescent="0.3">
      <c r="A1923" s="1">
        <v>45319</v>
      </c>
      <c r="B1923">
        <v>179.39</v>
      </c>
      <c r="C1923">
        <v>452.35</v>
      </c>
      <c r="D1923">
        <v>8</v>
      </c>
      <c r="E1923" s="2" t="s">
        <v>16</v>
      </c>
      <c r="F1923" s="2" t="s">
        <v>9</v>
      </c>
      <c r="G1923" s="2" t="s">
        <v>12</v>
      </c>
      <c r="H1923" s="2" t="s">
        <v>18</v>
      </c>
      <c r="I1923" s="2">
        <f t="shared" si="60"/>
        <v>-272.96000000000004</v>
      </c>
      <c r="J1923" s="2">
        <f t="shared" si="61"/>
        <v>-0.60342655023764791</v>
      </c>
    </row>
    <row r="1924" spans="1:10" x14ac:dyDescent="0.3">
      <c r="A1924" s="1">
        <v>45401</v>
      </c>
      <c r="B1924">
        <v>449.21</v>
      </c>
      <c r="C1924">
        <v>61.85</v>
      </c>
      <c r="D1924">
        <v>1</v>
      </c>
      <c r="E1924" s="2" t="s">
        <v>13</v>
      </c>
      <c r="F1924" s="2" t="s">
        <v>17</v>
      </c>
      <c r="G1924" s="2" t="s">
        <v>10</v>
      </c>
      <c r="H1924" s="2" t="s">
        <v>11</v>
      </c>
      <c r="I1924" s="2">
        <f t="shared" si="60"/>
        <v>387.35999999999996</v>
      </c>
      <c r="J1924" s="2">
        <f t="shared" si="61"/>
        <v>6.2628940986257069</v>
      </c>
    </row>
    <row r="1925" spans="1:10" x14ac:dyDescent="0.3">
      <c r="A1925" s="1">
        <v>45293</v>
      </c>
      <c r="B1925">
        <v>710.64</v>
      </c>
      <c r="C1925">
        <v>466.15</v>
      </c>
      <c r="D1925">
        <v>10</v>
      </c>
      <c r="E1925" s="2" t="s">
        <v>16</v>
      </c>
      <c r="F1925" s="2" t="s">
        <v>9</v>
      </c>
      <c r="G1925" s="2" t="s">
        <v>10</v>
      </c>
      <c r="H1925" s="2" t="s">
        <v>18</v>
      </c>
      <c r="I1925" s="2">
        <f t="shared" si="60"/>
        <v>244.49</v>
      </c>
      <c r="J1925" s="2">
        <f t="shared" si="61"/>
        <v>0.5244878258071437</v>
      </c>
    </row>
    <row r="1926" spans="1:10" x14ac:dyDescent="0.3">
      <c r="A1926" s="1">
        <v>45300</v>
      </c>
      <c r="B1926">
        <v>473.58</v>
      </c>
      <c r="C1926">
        <v>129.88</v>
      </c>
      <c r="D1926">
        <v>1</v>
      </c>
      <c r="E1926" s="2" t="s">
        <v>13</v>
      </c>
      <c r="F1926" s="2" t="s">
        <v>17</v>
      </c>
      <c r="G1926" s="2" t="s">
        <v>10</v>
      </c>
      <c r="H1926" s="2" t="s">
        <v>15</v>
      </c>
      <c r="I1926" s="2">
        <f t="shared" si="60"/>
        <v>343.7</v>
      </c>
      <c r="J1926" s="2">
        <f t="shared" si="61"/>
        <v>2.6462888820449644</v>
      </c>
    </row>
    <row r="1927" spans="1:10" x14ac:dyDescent="0.3">
      <c r="A1927" s="1">
        <v>45324</v>
      </c>
      <c r="B1927">
        <v>1098.9100000000001</v>
      </c>
      <c r="C1927">
        <v>463.28</v>
      </c>
      <c r="D1927">
        <v>7</v>
      </c>
      <c r="E1927" s="2" t="s">
        <v>16</v>
      </c>
      <c r="F1927" s="2" t="s">
        <v>17</v>
      </c>
      <c r="G1927" s="2" t="s">
        <v>12</v>
      </c>
      <c r="H1927" s="2" t="s">
        <v>11</v>
      </c>
      <c r="I1927" s="2">
        <f t="shared" si="60"/>
        <v>635.63000000000011</v>
      </c>
      <c r="J1927" s="2">
        <f t="shared" si="61"/>
        <v>1.3720212398549476</v>
      </c>
    </row>
    <row r="1928" spans="1:10" x14ac:dyDescent="0.3">
      <c r="A1928" s="1">
        <v>45294</v>
      </c>
      <c r="B1928">
        <v>960.02</v>
      </c>
      <c r="C1928">
        <v>223.88</v>
      </c>
      <c r="D1928">
        <v>3</v>
      </c>
      <c r="E1928" s="2" t="s">
        <v>8</v>
      </c>
      <c r="F1928" s="2" t="s">
        <v>17</v>
      </c>
      <c r="G1928" s="2" t="s">
        <v>10</v>
      </c>
      <c r="H1928" s="2" t="s">
        <v>11</v>
      </c>
      <c r="I1928" s="2">
        <f t="shared" si="60"/>
        <v>736.14</v>
      </c>
      <c r="J1928" s="2">
        <f t="shared" si="61"/>
        <v>3.2881007682687153</v>
      </c>
    </row>
    <row r="1929" spans="1:10" x14ac:dyDescent="0.3">
      <c r="A1929" s="1">
        <v>45364</v>
      </c>
      <c r="B1929">
        <v>922.28</v>
      </c>
      <c r="C1929">
        <v>244.03</v>
      </c>
      <c r="D1929">
        <v>8</v>
      </c>
      <c r="E1929" s="2" t="s">
        <v>16</v>
      </c>
      <c r="F1929" s="2" t="s">
        <v>9</v>
      </c>
      <c r="G1929" s="2" t="s">
        <v>12</v>
      </c>
      <c r="H1929" s="2" t="s">
        <v>11</v>
      </c>
      <c r="I1929" s="2">
        <f t="shared" si="60"/>
        <v>678.25</v>
      </c>
      <c r="J1929" s="2">
        <f t="shared" si="61"/>
        <v>2.7793713887636766</v>
      </c>
    </row>
    <row r="1930" spans="1:10" x14ac:dyDescent="0.3">
      <c r="A1930" s="1">
        <v>45388</v>
      </c>
      <c r="B1930">
        <v>703.72</v>
      </c>
      <c r="C1930">
        <v>388.92</v>
      </c>
      <c r="D1930">
        <v>9</v>
      </c>
      <c r="E1930" s="2" t="s">
        <v>13</v>
      </c>
      <c r="F1930" s="2" t="s">
        <v>17</v>
      </c>
      <c r="G1930" s="2" t="s">
        <v>14</v>
      </c>
      <c r="H1930" s="2" t="s">
        <v>15</v>
      </c>
      <c r="I1930" s="2">
        <f t="shared" si="60"/>
        <v>314.8</v>
      </c>
      <c r="J1930" s="2">
        <f t="shared" si="61"/>
        <v>0.80942096060886559</v>
      </c>
    </row>
    <row r="1931" spans="1:10" x14ac:dyDescent="0.3">
      <c r="A1931" s="1">
        <v>45412</v>
      </c>
      <c r="B1931">
        <v>289.45</v>
      </c>
      <c r="C1931">
        <v>332.67</v>
      </c>
      <c r="D1931">
        <v>5</v>
      </c>
      <c r="E1931" s="2" t="s">
        <v>8</v>
      </c>
      <c r="F1931" s="2" t="s">
        <v>17</v>
      </c>
      <c r="G1931" s="2" t="s">
        <v>19</v>
      </c>
      <c r="H1931" s="2" t="s">
        <v>18</v>
      </c>
      <c r="I1931" s="2">
        <f t="shared" si="60"/>
        <v>-43.220000000000027</v>
      </c>
      <c r="J1931" s="2">
        <f t="shared" si="61"/>
        <v>-0.12991853789040197</v>
      </c>
    </row>
    <row r="1932" spans="1:10" x14ac:dyDescent="0.3">
      <c r="A1932" s="1">
        <v>45339</v>
      </c>
      <c r="B1932">
        <v>1444.22</v>
      </c>
      <c r="C1932">
        <v>255.31</v>
      </c>
      <c r="D1932">
        <v>4</v>
      </c>
      <c r="E1932" s="2" t="s">
        <v>13</v>
      </c>
      <c r="F1932" s="2" t="s">
        <v>17</v>
      </c>
      <c r="G1932" s="2" t="s">
        <v>19</v>
      </c>
      <c r="H1932" s="2" t="s">
        <v>15</v>
      </c>
      <c r="I1932" s="2">
        <f t="shared" si="60"/>
        <v>1188.9100000000001</v>
      </c>
      <c r="J1932" s="2">
        <f t="shared" si="61"/>
        <v>4.6567310328620115</v>
      </c>
    </row>
    <row r="1933" spans="1:10" x14ac:dyDescent="0.3">
      <c r="A1933" s="1">
        <v>45343</v>
      </c>
      <c r="B1933">
        <v>328.14</v>
      </c>
      <c r="C1933">
        <v>160.19999999999999</v>
      </c>
      <c r="D1933">
        <v>0</v>
      </c>
      <c r="E1933" s="2" t="s">
        <v>8</v>
      </c>
      <c r="F1933" s="2" t="s">
        <v>9</v>
      </c>
      <c r="G1933" s="2" t="s">
        <v>14</v>
      </c>
      <c r="H1933" s="2" t="s">
        <v>18</v>
      </c>
      <c r="I1933" s="2">
        <f t="shared" si="60"/>
        <v>167.94</v>
      </c>
      <c r="J1933" s="2">
        <f t="shared" si="61"/>
        <v>1.0483146067415732</v>
      </c>
    </row>
    <row r="1934" spans="1:10" x14ac:dyDescent="0.3">
      <c r="A1934" s="1">
        <v>45383</v>
      </c>
      <c r="B1934">
        <v>279.02</v>
      </c>
      <c r="C1934">
        <v>244.77</v>
      </c>
      <c r="D1934">
        <v>4</v>
      </c>
      <c r="E1934" s="2" t="s">
        <v>13</v>
      </c>
      <c r="F1934" s="2" t="s">
        <v>17</v>
      </c>
      <c r="G1934" s="2" t="s">
        <v>14</v>
      </c>
      <c r="H1934" s="2" t="s">
        <v>20</v>
      </c>
      <c r="I1934" s="2">
        <f t="shared" si="60"/>
        <v>34.249999999999972</v>
      </c>
      <c r="J1934" s="2">
        <f t="shared" si="61"/>
        <v>0.1399272786697715</v>
      </c>
    </row>
    <row r="1935" spans="1:10" x14ac:dyDescent="0.3">
      <c r="A1935" s="1">
        <v>45310</v>
      </c>
      <c r="B1935">
        <v>557.13</v>
      </c>
      <c r="C1935">
        <v>335.93</v>
      </c>
      <c r="D1935">
        <v>3</v>
      </c>
      <c r="E1935" s="2" t="s">
        <v>16</v>
      </c>
      <c r="F1935" s="2" t="s">
        <v>17</v>
      </c>
      <c r="G1935" s="2" t="s">
        <v>12</v>
      </c>
      <c r="H1935" s="2" t="s">
        <v>20</v>
      </c>
      <c r="I1935" s="2">
        <f t="shared" si="60"/>
        <v>221.2</v>
      </c>
      <c r="J1935" s="2">
        <f t="shared" si="61"/>
        <v>0.6584705146905605</v>
      </c>
    </row>
    <row r="1936" spans="1:10" x14ac:dyDescent="0.3">
      <c r="A1936" s="1">
        <v>45400</v>
      </c>
      <c r="B1936">
        <v>64.150000000000006</v>
      </c>
      <c r="C1936">
        <v>81.38</v>
      </c>
      <c r="D1936">
        <v>7</v>
      </c>
      <c r="E1936" s="2" t="s">
        <v>16</v>
      </c>
      <c r="F1936" s="2" t="s">
        <v>17</v>
      </c>
      <c r="G1936" s="2" t="s">
        <v>12</v>
      </c>
      <c r="H1936" s="2" t="s">
        <v>18</v>
      </c>
      <c r="I1936" s="2">
        <f t="shared" si="60"/>
        <v>-17.22999999999999</v>
      </c>
      <c r="J1936" s="2">
        <f t="shared" si="61"/>
        <v>-0.21172278201032182</v>
      </c>
    </row>
    <row r="1937" spans="1:10" x14ac:dyDescent="0.3">
      <c r="A1937" s="1">
        <v>45329</v>
      </c>
      <c r="B1937">
        <v>1218.6500000000001</v>
      </c>
      <c r="C1937">
        <v>180.64</v>
      </c>
      <c r="D1937">
        <v>0</v>
      </c>
      <c r="E1937" s="2" t="s">
        <v>8</v>
      </c>
      <c r="F1937" s="2" t="s">
        <v>17</v>
      </c>
      <c r="G1937" s="2" t="s">
        <v>10</v>
      </c>
      <c r="H1937" s="2" t="s">
        <v>11</v>
      </c>
      <c r="I1937" s="2">
        <f t="shared" si="60"/>
        <v>1038.0100000000002</v>
      </c>
      <c r="J1937" s="2">
        <f t="shared" si="61"/>
        <v>5.7462909654561578</v>
      </c>
    </row>
    <row r="1938" spans="1:10" x14ac:dyDescent="0.3">
      <c r="A1938" s="1">
        <v>45383</v>
      </c>
      <c r="B1938">
        <v>859.06</v>
      </c>
      <c r="C1938">
        <v>330.93</v>
      </c>
      <c r="D1938">
        <v>5</v>
      </c>
      <c r="E1938" s="2" t="s">
        <v>8</v>
      </c>
      <c r="F1938" s="2" t="s">
        <v>17</v>
      </c>
      <c r="G1938" s="2" t="s">
        <v>10</v>
      </c>
      <c r="H1938" s="2" t="s">
        <v>15</v>
      </c>
      <c r="I1938" s="2">
        <f t="shared" si="60"/>
        <v>528.12999999999988</v>
      </c>
      <c r="J1938" s="2">
        <f t="shared" si="61"/>
        <v>1.5958964131387299</v>
      </c>
    </row>
    <row r="1939" spans="1:10" x14ac:dyDescent="0.3">
      <c r="A1939" s="1">
        <v>45318</v>
      </c>
      <c r="B1939">
        <v>713.92</v>
      </c>
      <c r="C1939">
        <v>451.86</v>
      </c>
      <c r="D1939">
        <v>1</v>
      </c>
      <c r="E1939" s="2" t="s">
        <v>16</v>
      </c>
      <c r="F1939" s="2" t="s">
        <v>17</v>
      </c>
      <c r="G1939" s="2" t="s">
        <v>14</v>
      </c>
      <c r="H1939" s="2" t="s">
        <v>15</v>
      </c>
      <c r="I1939" s="2">
        <f t="shared" si="60"/>
        <v>262.05999999999995</v>
      </c>
      <c r="J1939" s="2">
        <f t="shared" si="61"/>
        <v>0.57995839419289141</v>
      </c>
    </row>
    <row r="1940" spans="1:10" x14ac:dyDescent="0.3">
      <c r="A1940" s="1">
        <v>45320</v>
      </c>
      <c r="B1940">
        <v>944.89</v>
      </c>
      <c r="C1940">
        <v>340.64</v>
      </c>
      <c r="D1940">
        <v>10</v>
      </c>
      <c r="E1940" s="2" t="s">
        <v>16</v>
      </c>
      <c r="F1940" s="2" t="s">
        <v>9</v>
      </c>
      <c r="G1940" s="2" t="s">
        <v>12</v>
      </c>
      <c r="H1940" s="2" t="s">
        <v>20</v>
      </c>
      <c r="I1940" s="2">
        <f t="shared" si="60"/>
        <v>604.25</v>
      </c>
      <c r="J1940" s="2">
        <f t="shared" si="61"/>
        <v>1.7738668388914984</v>
      </c>
    </row>
    <row r="1941" spans="1:10" x14ac:dyDescent="0.3">
      <c r="A1941" s="1">
        <v>45408</v>
      </c>
      <c r="B1941">
        <v>282.89999999999998</v>
      </c>
      <c r="C1941">
        <v>299.3</v>
      </c>
      <c r="D1941">
        <v>3</v>
      </c>
      <c r="E1941" s="2" t="s">
        <v>13</v>
      </c>
      <c r="F1941" s="2" t="s">
        <v>17</v>
      </c>
      <c r="G1941" s="2" t="s">
        <v>12</v>
      </c>
      <c r="H1941" s="2" t="s">
        <v>18</v>
      </c>
      <c r="I1941" s="2">
        <f t="shared" si="60"/>
        <v>-16.400000000000034</v>
      </c>
      <c r="J1941" s="2">
        <f t="shared" si="61"/>
        <v>-5.479452054794532E-2</v>
      </c>
    </row>
    <row r="1942" spans="1:10" x14ac:dyDescent="0.3">
      <c r="A1942" s="1">
        <v>45403</v>
      </c>
      <c r="B1942">
        <v>416.33</v>
      </c>
      <c r="C1942">
        <v>260.77</v>
      </c>
      <c r="D1942">
        <v>0</v>
      </c>
      <c r="E1942" s="2" t="s">
        <v>8</v>
      </c>
      <c r="F1942" s="2" t="s">
        <v>17</v>
      </c>
      <c r="G1942" s="2" t="s">
        <v>12</v>
      </c>
      <c r="H1942" s="2" t="s">
        <v>18</v>
      </c>
      <c r="I1942" s="2">
        <f t="shared" si="60"/>
        <v>155.56</v>
      </c>
      <c r="J1942" s="2">
        <f t="shared" si="61"/>
        <v>0.59654101315335362</v>
      </c>
    </row>
    <row r="1943" spans="1:10" x14ac:dyDescent="0.3">
      <c r="A1943" s="1">
        <v>45338</v>
      </c>
      <c r="B1943">
        <v>1426.6</v>
      </c>
      <c r="C1943">
        <v>110.06</v>
      </c>
      <c r="D1943">
        <v>6</v>
      </c>
      <c r="E1943" s="2" t="s">
        <v>8</v>
      </c>
      <c r="F1943" s="2" t="s">
        <v>17</v>
      </c>
      <c r="G1943" s="2" t="s">
        <v>14</v>
      </c>
      <c r="H1943" s="2" t="s">
        <v>18</v>
      </c>
      <c r="I1943" s="2">
        <f t="shared" si="60"/>
        <v>1316.54</v>
      </c>
      <c r="J1943" s="2">
        <f t="shared" si="61"/>
        <v>11.962020715973106</v>
      </c>
    </row>
    <row r="1944" spans="1:10" x14ac:dyDescent="0.3">
      <c r="A1944" s="1">
        <v>45302</v>
      </c>
      <c r="B1944">
        <v>1015.18</v>
      </c>
      <c r="C1944">
        <v>54.77</v>
      </c>
      <c r="D1944">
        <v>7</v>
      </c>
      <c r="E1944" s="2" t="s">
        <v>8</v>
      </c>
      <c r="F1944" s="2" t="s">
        <v>9</v>
      </c>
      <c r="G1944" s="2" t="s">
        <v>19</v>
      </c>
      <c r="H1944" s="2" t="s">
        <v>15</v>
      </c>
      <c r="I1944" s="2">
        <f t="shared" si="60"/>
        <v>960.41</v>
      </c>
      <c r="J1944" s="2">
        <f t="shared" si="61"/>
        <v>17.535329559978088</v>
      </c>
    </row>
    <row r="1945" spans="1:10" x14ac:dyDescent="0.3">
      <c r="A1945" s="1">
        <v>45385</v>
      </c>
      <c r="B1945">
        <v>107.24</v>
      </c>
      <c r="C1945">
        <v>421.13</v>
      </c>
      <c r="D1945">
        <v>6</v>
      </c>
      <c r="E1945" s="2" t="s">
        <v>16</v>
      </c>
      <c r="F1945" s="2" t="s">
        <v>9</v>
      </c>
      <c r="G1945" s="2" t="s">
        <v>19</v>
      </c>
      <c r="H1945" s="2" t="s">
        <v>20</v>
      </c>
      <c r="I1945" s="2">
        <f t="shared" si="60"/>
        <v>-313.89</v>
      </c>
      <c r="J1945" s="2">
        <f t="shared" si="61"/>
        <v>-0.7453517916082919</v>
      </c>
    </row>
    <row r="1946" spans="1:10" x14ac:dyDescent="0.3">
      <c r="A1946" s="1">
        <v>45332</v>
      </c>
      <c r="B1946">
        <v>142.91999999999999</v>
      </c>
      <c r="C1946">
        <v>291.10000000000002</v>
      </c>
      <c r="D1946">
        <v>8</v>
      </c>
      <c r="E1946" s="2" t="s">
        <v>8</v>
      </c>
      <c r="F1946" s="2" t="s">
        <v>9</v>
      </c>
      <c r="G1946" s="2" t="s">
        <v>19</v>
      </c>
      <c r="H1946" s="2" t="s">
        <v>18</v>
      </c>
      <c r="I1946" s="2">
        <f t="shared" si="60"/>
        <v>-148.18000000000004</v>
      </c>
      <c r="J1946" s="2">
        <f t="shared" si="61"/>
        <v>-0.50903469598076267</v>
      </c>
    </row>
    <row r="1947" spans="1:10" x14ac:dyDescent="0.3">
      <c r="A1947" s="1">
        <v>45353</v>
      </c>
      <c r="B1947">
        <v>60.82</v>
      </c>
      <c r="C1947">
        <v>179.45</v>
      </c>
      <c r="D1947">
        <v>9</v>
      </c>
      <c r="E1947" s="2" t="s">
        <v>13</v>
      </c>
      <c r="F1947" s="2" t="s">
        <v>17</v>
      </c>
      <c r="G1947" s="2" t="s">
        <v>14</v>
      </c>
      <c r="H1947" s="2" t="s">
        <v>20</v>
      </c>
      <c r="I1947" s="2">
        <f t="shared" si="60"/>
        <v>-118.63</v>
      </c>
      <c r="J1947" s="2">
        <f t="shared" si="61"/>
        <v>-0.66107550849818897</v>
      </c>
    </row>
    <row r="1948" spans="1:10" x14ac:dyDescent="0.3">
      <c r="A1948" s="1">
        <v>45334</v>
      </c>
      <c r="B1948">
        <v>616.32000000000005</v>
      </c>
      <c r="C1948">
        <v>297.77</v>
      </c>
      <c r="D1948">
        <v>0</v>
      </c>
      <c r="E1948" s="2" t="s">
        <v>13</v>
      </c>
      <c r="F1948" s="2" t="s">
        <v>17</v>
      </c>
      <c r="G1948" s="2" t="s">
        <v>19</v>
      </c>
      <c r="H1948" s="2" t="s">
        <v>11</v>
      </c>
      <c r="I1948" s="2">
        <f t="shared" si="60"/>
        <v>318.55000000000007</v>
      </c>
      <c r="J1948" s="2">
        <f t="shared" si="61"/>
        <v>1.069785404842664</v>
      </c>
    </row>
    <row r="1949" spans="1:10" x14ac:dyDescent="0.3">
      <c r="A1949" s="1">
        <v>45385</v>
      </c>
      <c r="B1949">
        <v>644.94000000000005</v>
      </c>
      <c r="C1949">
        <v>26.8</v>
      </c>
      <c r="D1949">
        <v>4</v>
      </c>
      <c r="E1949" s="2" t="s">
        <v>16</v>
      </c>
      <c r="F1949" s="2" t="s">
        <v>17</v>
      </c>
      <c r="G1949" s="2" t="s">
        <v>19</v>
      </c>
      <c r="H1949" s="2" t="s">
        <v>11</v>
      </c>
      <c r="I1949" s="2">
        <f t="shared" si="60"/>
        <v>618.1400000000001</v>
      </c>
      <c r="J1949" s="2">
        <f t="shared" si="61"/>
        <v>23.064925373134333</v>
      </c>
    </row>
    <row r="1950" spans="1:10" x14ac:dyDescent="0.3">
      <c r="A1950" s="1">
        <v>45384</v>
      </c>
      <c r="B1950">
        <v>1166.21</v>
      </c>
      <c r="C1950">
        <v>466.67</v>
      </c>
      <c r="D1950">
        <v>9</v>
      </c>
      <c r="E1950" s="2" t="s">
        <v>13</v>
      </c>
      <c r="F1950" s="2" t="s">
        <v>17</v>
      </c>
      <c r="G1950" s="2" t="s">
        <v>12</v>
      </c>
      <c r="H1950" s="2" t="s">
        <v>11</v>
      </c>
      <c r="I1950" s="2">
        <f t="shared" si="60"/>
        <v>699.54</v>
      </c>
      <c r="J1950" s="2">
        <f t="shared" si="61"/>
        <v>1.4990035785458673</v>
      </c>
    </row>
    <row r="1951" spans="1:10" x14ac:dyDescent="0.3">
      <c r="A1951" s="1">
        <v>45308</v>
      </c>
      <c r="B1951">
        <v>998.37</v>
      </c>
      <c r="C1951">
        <v>111.29</v>
      </c>
      <c r="D1951">
        <v>0</v>
      </c>
      <c r="E1951" s="2" t="s">
        <v>8</v>
      </c>
      <c r="F1951" s="2" t="s">
        <v>17</v>
      </c>
      <c r="G1951" s="2" t="s">
        <v>14</v>
      </c>
      <c r="H1951" s="2" t="s">
        <v>15</v>
      </c>
      <c r="I1951" s="2">
        <f t="shared" si="60"/>
        <v>887.08</v>
      </c>
      <c r="J1951" s="2">
        <f t="shared" si="61"/>
        <v>7.9708868721358614</v>
      </c>
    </row>
    <row r="1952" spans="1:10" x14ac:dyDescent="0.3">
      <c r="A1952" s="1">
        <v>45405</v>
      </c>
      <c r="B1952">
        <v>863.66</v>
      </c>
      <c r="C1952">
        <v>165.53</v>
      </c>
      <c r="D1952">
        <v>7</v>
      </c>
      <c r="E1952" s="2" t="s">
        <v>13</v>
      </c>
      <c r="F1952" s="2" t="s">
        <v>9</v>
      </c>
      <c r="G1952" s="2" t="s">
        <v>19</v>
      </c>
      <c r="H1952" s="2" t="s">
        <v>18</v>
      </c>
      <c r="I1952" s="2">
        <f t="shared" si="60"/>
        <v>698.13</v>
      </c>
      <c r="J1952" s="2">
        <f t="shared" si="61"/>
        <v>4.2175436476771582</v>
      </c>
    </row>
    <row r="1953" spans="1:10" x14ac:dyDescent="0.3">
      <c r="A1953" s="1">
        <v>45307</v>
      </c>
      <c r="B1953">
        <v>466.26</v>
      </c>
      <c r="C1953">
        <v>206.85</v>
      </c>
      <c r="D1953">
        <v>1</v>
      </c>
      <c r="E1953" s="2" t="s">
        <v>16</v>
      </c>
      <c r="F1953" s="2" t="s">
        <v>9</v>
      </c>
      <c r="G1953" s="2" t="s">
        <v>19</v>
      </c>
      <c r="H1953" s="2" t="s">
        <v>20</v>
      </c>
      <c r="I1953" s="2">
        <f t="shared" si="60"/>
        <v>259.40999999999997</v>
      </c>
      <c r="J1953" s="2">
        <f t="shared" si="61"/>
        <v>1.2540971718636693</v>
      </c>
    </row>
    <row r="1954" spans="1:10" x14ac:dyDescent="0.3">
      <c r="A1954" s="1">
        <v>45348</v>
      </c>
      <c r="B1954">
        <v>1117.7</v>
      </c>
      <c r="C1954">
        <v>486.91</v>
      </c>
      <c r="D1954">
        <v>4</v>
      </c>
      <c r="E1954" s="2" t="s">
        <v>8</v>
      </c>
      <c r="F1954" s="2" t="s">
        <v>17</v>
      </c>
      <c r="G1954" s="2" t="s">
        <v>10</v>
      </c>
      <c r="H1954" s="2" t="s">
        <v>11</v>
      </c>
      <c r="I1954" s="2">
        <f t="shared" si="60"/>
        <v>630.79</v>
      </c>
      <c r="J1954" s="2">
        <f t="shared" si="61"/>
        <v>1.295496087572652</v>
      </c>
    </row>
    <row r="1955" spans="1:10" x14ac:dyDescent="0.3">
      <c r="A1955" s="1">
        <v>45295</v>
      </c>
      <c r="B1955">
        <v>1454.84</v>
      </c>
      <c r="C1955">
        <v>273.11</v>
      </c>
      <c r="D1955">
        <v>5</v>
      </c>
      <c r="E1955" s="2" t="s">
        <v>13</v>
      </c>
      <c r="F1955" s="2" t="s">
        <v>9</v>
      </c>
      <c r="G1955" s="2" t="s">
        <v>10</v>
      </c>
      <c r="H1955" s="2" t="s">
        <v>11</v>
      </c>
      <c r="I1955" s="2">
        <f t="shared" si="60"/>
        <v>1181.73</v>
      </c>
      <c r="J1955" s="2">
        <f t="shared" si="61"/>
        <v>4.3269378638643765</v>
      </c>
    </row>
    <row r="1956" spans="1:10" x14ac:dyDescent="0.3">
      <c r="A1956" s="1">
        <v>45363</v>
      </c>
      <c r="B1956">
        <v>774.33</v>
      </c>
      <c r="C1956">
        <v>14.13</v>
      </c>
      <c r="D1956">
        <v>10</v>
      </c>
      <c r="E1956" s="2" t="s">
        <v>8</v>
      </c>
      <c r="F1956" s="2" t="s">
        <v>17</v>
      </c>
      <c r="G1956" s="2" t="s">
        <v>10</v>
      </c>
      <c r="H1956" s="2" t="s">
        <v>18</v>
      </c>
      <c r="I1956" s="2">
        <f t="shared" si="60"/>
        <v>760.2</v>
      </c>
      <c r="J1956" s="2">
        <f t="shared" si="61"/>
        <v>53.800424628450109</v>
      </c>
    </row>
    <row r="1957" spans="1:10" x14ac:dyDescent="0.3">
      <c r="A1957" s="1">
        <v>45364</v>
      </c>
      <c r="B1957">
        <v>640.15</v>
      </c>
      <c r="C1957">
        <v>163.47999999999999</v>
      </c>
      <c r="D1957">
        <v>9</v>
      </c>
      <c r="E1957" s="2" t="s">
        <v>8</v>
      </c>
      <c r="F1957" s="2" t="s">
        <v>17</v>
      </c>
      <c r="G1957" s="2" t="s">
        <v>12</v>
      </c>
      <c r="H1957" s="2" t="s">
        <v>18</v>
      </c>
      <c r="I1957" s="2">
        <f t="shared" si="60"/>
        <v>476.66999999999996</v>
      </c>
      <c r="J1957" s="2">
        <f t="shared" si="61"/>
        <v>2.9157695130902863</v>
      </c>
    </row>
    <row r="1958" spans="1:10" x14ac:dyDescent="0.3">
      <c r="A1958" s="1">
        <v>45406</v>
      </c>
      <c r="B1958">
        <v>207.35</v>
      </c>
      <c r="C1958">
        <v>308.93</v>
      </c>
      <c r="D1958">
        <v>1</v>
      </c>
      <c r="E1958" s="2" t="s">
        <v>13</v>
      </c>
      <c r="F1958" s="2" t="s">
        <v>9</v>
      </c>
      <c r="G1958" s="2" t="s">
        <v>14</v>
      </c>
      <c r="H1958" s="2" t="s">
        <v>11</v>
      </c>
      <c r="I1958" s="2">
        <f t="shared" si="60"/>
        <v>-101.58000000000001</v>
      </c>
      <c r="J1958" s="2">
        <f t="shared" si="61"/>
        <v>-0.32881235231282169</v>
      </c>
    </row>
    <row r="1959" spans="1:10" x14ac:dyDescent="0.3">
      <c r="A1959" s="1">
        <v>45378</v>
      </c>
      <c r="B1959">
        <v>1343.55</v>
      </c>
      <c r="C1959">
        <v>310.74</v>
      </c>
      <c r="D1959">
        <v>8</v>
      </c>
      <c r="E1959" s="2" t="s">
        <v>16</v>
      </c>
      <c r="F1959" s="2" t="s">
        <v>9</v>
      </c>
      <c r="G1959" s="2" t="s">
        <v>12</v>
      </c>
      <c r="H1959" s="2" t="s">
        <v>18</v>
      </c>
      <c r="I1959" s="2">
        <f t="shared" si="60"/>
        <v>1032.81</v>
      </c>
      <c r="J1959" s="2">
        <f t="shared" si="61"/>
        <v>3.3237111411469393</v>
      </c>
    </row>
    <row r="1960" spans="1:10" x14ac:dyDescent="0.3">
      <c r="A1960" s="1">
        <v>45396</v>
      </c>
      <c r="B1960">
        <v>821.02</v>
      </c>
      <c r="C1960">
        <v>410.11</v>
      </c>
      <c r="D1960">
        <v>10</v>
      </c>
      <c r="E1960" s="2" t="s">
        <v>8</v>
      </c>
      <c r="F1960" s="2" t="s">
        <v>9</v>
      </c>
      <c r="G1960" s="2" t="s">
        <v>10</v>
      </c>
      <c r="H1960" s="2" t="s">
        <v>11</v>
      </c>
      <c r="I1960" s="2">
        <f t="shared" si="60"/>
        <v>410.90999999999997</v>
      </c>
      <c r="J1960" s="2">
        <f t="shared" si="61"/>
        <v>1.00195069615469</v>
      </c>
    </row>
    <row r="1961" spans="1:10" x14ac:dyDescent="0.3">
      <c r="A1961" s="1">
        <v>45309</v>
      </c>
      <c r="B1961">
        <v>587.74</v>
      </c>
      <c r="C1961">
        <v>232.04</v>
      </c>
      <c r="D1961">
        <v>0</v>
      </c>
      <c r="E1961" s="2" t="s">
        <v>8</v>
      </c>
      <c r="F1961" s="2" t="s">
        <v>9</v>
      </c>
      <c r="G1961" s="2" t="s">
        <v>12</v>
      </c>
      <c r="H1961" s="2" t="s">
        <v>20</v>
      </c>
      <c r="I1961" s="2">
        <f t="shared" si="60"/>
        <v>355.70000000000005</v>
      </c>
      <c r="J1961" s="2">
        <f t="shared" si="61"/>
        <v>1.532925357696949</v>
      </c>
    </row>
    <row r="1962" spans="1:10" x14ac:dyDescent="0.3">
      <c r="A1962" s="1">
        <v>45359</v>
      </c>
      <c r="B1962">
        <v>660.96</v>
      </c>
      <c r="C1962">
        <v>96.62</v>
      </c>
      <c r="D1962">
        <v>1</v>
      </c>
      <c r="E1962" s="2" t="s">
        <v>8</v>
      </c>
      <c r="F1962" s="2" t="s">
        <v>17</v>
      </c>
      <c r="G1962" s="2" t="s">
        <v>12</v>
      </c>
      <c r="H1962" s="2" t="s">
        <v>15</v>
      </c>
      <c r="I1962" s="2">
        <f t="shared" si="60"/>
        <v>564.34</v>
      </c>
      <c r="J1962" s="2">
        <f t="shared" si="61"/>
        <v>5.8408197060649973</v>
      </c>
    </row>
    <row r="1963" spans="1:10" x14ac:dyDescent="0.3">
      <c r="A1963" s="1">
        <v>45399</v>
      </c>
      <c r="B1963">
        <v>473.35</v>
      </c>
      <c r="C1963">
        <v>315.38</v>
      </c>
      <c r="D1963">
        <v>8</v>
      </c>
      <c r="E1963" s="2" t="s">
        <v>16</v>
      </c>
      <c r="F1963" s="2" t="s">
        <v>17</v>
      </c>
      <c r="G1963" s="2" t="s">
        <v>10</v>
      </c>
      <c r="H1963" s="2" t="s">
        <v>20</v>
      </c>
      <c r="I1963" s="2">
        <f t="shared" si="60"/>
        <v>157.97000000000003</v>
      </c>
      <c r="J1963" s="2">
        <f t="shared" si="61"/>
        <v>0.50088781787050551</v>
      </c>
    </row>
    <row r="1964" spans="1:10" x14ac:dyDescent="0.3">
      <c r="A1964" s="1">
        <v>45377</v>
      </c>
      <c r="B1964">
        <v>1437.62</v>
      </c>
      <c r="C1964">
        <v>439.24</v>
      </c>
      <c r="D1964">
        <v>8</v>
      </c>
      <c r="E1964" s="2" t="s">
        <v>16</v>
      </c>
      <c r="F1964" s="2" t="s">
        <v>9</v>
      </c>
      <c r="G1964" s="2" t="s">
        <v>12</v>
      </c>
      <c r="H1964" s="2" t="s">
        <v>20</v>
      </c>
      <c r="I1964" s="2">
        <f t="shared" si="60"/>
        <v>998.37999999999988</v>
      </c>
      <c r="J1964" s="2">
        <f t="shared" si="61"/>
        <v>2.2729714962207446</v>
      </c>
    </row>
    <row r="1965" spans="1:10" x14ac:dyDescent="0.3">
      <c r="A1965" s="1">
        <v>45409</v>
      </c>
      <c r="B1965">
        <v>293.64</v>
      </c>
      <c r="C1965">
        <v>346.27</v>
      </c>
      <c r="D1965">
        <v>2</v>
      </c>
      <c r="E1965" s="2" t="s">
        <v>16</v>
      </c>
      <c r="F1965" s="2" t="s">
        <v>17</v>
      </c>
      <c r="G1965" s="2" t="s">
        <v>10</v>
      </c>
      <c r="H1965" s="2" t="s">
        <v>11</v>
      </c>
      <c r="I1965" s="2">
        <f t="shared" si="60"/>
        <v>-52.629999999999995</v>
      </c>
      <c r="J1965" s="2">
        <f t="shared" si="61"/>
        <v>-0.15199122072371271</v>
      </c>
    </row>
    <row r="1966" spans="1:10" x14ac:dyDescent="0.3">
      <c r="A1966" s="1">
        <v>45391</v>
      </c>
      <c r="B1966">
        <v>1350.87</v>
      </c>
      <c r="C1966">
        <v>88.12</v>
      </c>
      <c r="D1966">
        <v>5</v>
      </c>
      <c r="E1966" s="2" t="s">
        <v>8</v>
      </c>
      <c r="F1966" s="2" t="s">
        <v>9</v>
      </c>
      <c r="G1966" s="2" t="s">
        <v>14</v>
      </c>
      <c r="H1966" s="2" t="s">
        <v>20</v>
      </c>
      <c r="I1966" s="2">
        <f t="shared" si="60"/>
        <v>1262.75</v>
      </c>
      <c r="J1966" s="2">
        <f t="shared" si="61"/>
        <v>14.329891057648661</v>
      </c>
    </row>
    <row r="1967" spans="1:10" x14ac:dyDescent="0.3">
      <c r="A1967" s="1">
        <v>45403</v>
      </c>
      <c r="B1967">
        <v>1204.76</v>
      </c>
      <c r="C1967">
        <v>117.55</v>
      </c>
      <c r="D1967">
        <v>5</v>
      </c>
      <c r="E1967" s="2" t="s">
        <v>13</v>
      </c>
      <c r="F1967" s="2" t="s">
        <v>9</v>
      </c>
      <c r="G1967" s="2" t="s">
        <v>12</v>
      </c>
      <c r="H1967" s="2" t="s">
        <v>20</v>
      </c>
      <c r="I1967" s="2">
        <f t="shared" si="60"/>
        <v>1087.21</v>
      </c>
      <c r="J1967" s="2">
        <f t="shared" si="61"/>
        <v>9.2489153551680143</v>
      </c>
    </row>
    <row r="1968" spans="1:10" x14ac:dyDescent="0.3">
      <c r="A1968" s="1">
        <v>45343</v>
      </c>
      <c r="B1968">
        <v>489.02</v>
      </c>
      <c r="C1968">
        <v>44.43</v>
      </c>
      <c r="D1968">
        <v>8</v>
      </c>
      <c r="E1968" s="2" t="s">
        <v>16</v>
      </c>
      <c r="F1968" s="2" t="s">
        <v>9</v>
      </c>
      <c r="G1968" s="2" t="s">
        <v>14</v>
      </c>
      <c r="H1968" s="2" t="s">
        <v>20</v>
      </c>
      <c r="I1968" s="2">
        <f t="shared" si="60"/>
        <v>444.59</v>
      </c>
      <c r="J1968" s="2">
        <f t="shared" si="61"/>
        <v>10.006527121314427</v>
      </c>
    </row>
    <row r="1969" spans="1:10" x14ac:dyDescent="0.3">
      <c r="A1969" s="1">
        <v>45347</v>
      </c>
      <c r="B1969">
        <v>540.96</v>
      </c>
      <c r="C1969">
        <v>27.19</v>
      </c>
      <c r="D1969">
        <v>10</v>
      </c>
      <c r="E1969" s="2" t="s">
        <v>8</v>
      </c>
      <c r="F1969" s="2" t="s">
        <v>9</v>
      </c>
      <c r="G1969" s="2" t="s">
        <v>10</v>
      </c>
      <c r="H1969" s="2" t="s">
        <v>20</v>
      </c>
      <c r="I1969" s="2">
        <f t="shared" si="60"/>
        <v>513.77</v>
      </c>
      <c r="J1969" s="2">
        <f t="shared" si="61"/>
        <v>18.895549834497977</v>
      </c>
    </row>
    <row r="1970" spans="1:10" x14ac:dyDescent="0.3">
      <c r="A1970" s="1">
        <v>45373</v>
      </c>
      <c r="B1970">
        <v>1425.5</v>
      </c>
      <c r="C1970">
        <v>83.68</v>
      </c>
      <c r="D1970">
        <v>1</v>
      </c>
      <c r="E1970" s="2" t="s">
        <v>8</v>
      </c>
      <c r="F1970" s="2" t="s">
        <v>9</v>
      </c>
      <c r="G1970" s="2" t="s">
        <v>10</v>
      </c>
      <c r="H1970" s="2" t="s">
        <v>11</v>
      </c>
      <c r="I1970" s="2">
        <f t="shared" si="60"/>
        <v>1341.82</v>
      </c>
      <c r="J1970" s="2">
        <f t="shared" si="61"/>
        <v>16.035133843212236</v>
      </c>
    </row>
    <row r="1971" spans="1:10" x14ac:dyDescent="0.3">
      <c r="A1971" s="1">
        <v>45298</v>
      </c>
      <c r="B1971">
        <v>1196.96</v>
      </c>
      <c r="C1971">
        <v>247.72</v>
      </c>
      <c r="D1971">
        <v>1</v>
      </c>
      <c r="E1971" s="2" t="s">
        <v>16</v>
      </c>
      <c r="F1971" s="2" t="s">
        <v>9</v>
      </c>
      <c r="G1971" s="2" t="s">
        <v>19</v>
      </c>
      <c r="H1971" s="2" t="s">
        <v>15</v>
      </c>
      <c r="I1971" s="2">
        <f t="shared" si="60"/>
        <v>949.24</v>
      </c>
      <c r="J1971" s="2">
        <f t="shared" si="61"/>
        <v>3.831906991764896</v>
      </c>
    </row>
    <row r="1972" spans="1:10" x14ac:dyDescent="0.3">
      <c r="A1972" s="1">
        <v>45411</v>
      </c>
      <c r="B1972">
        <v>1270.68</v>
      </c>
      <c r="C1972">
        <v>393.8</v>
      </c>
      <c r="D1972">
        <v>4</v>
      </c>
      <c r="E1972" s="2" t="s">
        <v>16</v>
      </c>
      <c r="F1972" s="2" t="s">
        <v>17</v>
      </c>
      <c r="G1972" s="2" t="s">
        <v>10</v>
      </c>
      <c r="H1972" s="2" t="s">
        <v>18</v>
      </c>
      <c r="I1972" s="2">
        <f t="shared" si="60"/>
        <v>876.88000000000011</v>
      </c>
      <c r="J1972" s="2">
        <f t="shared" si="61"/>
        <v>2.2267140680548505</v>
      </c>
    </row>
    <row r="1973" spans="1:10" x14ac:dyDescent="0.3">
      <c r="A1973" s="1">
        <v>45327</v>
      </c>
      <c r="B1973">
        <v>858.55</v>
      </c>
      <c r="C1973">
        <v>349.67</v>
      </c>
      <c r="D1973">
        <v>9</v>
      </c>
      <c r="E1973" s="2" t="s">
        <v>16</v>
      </c>
      <c r="F1973" s="2" t="s">
        <v>17</v>
      </c>
      <c r="G1973" s="2" t="s">
        <v>12</v>
      </c>
      <c r="H1973" s="2" t="s">
        <v>15</v>
      </c>
      <c r="I1973" s="2">
        <f t="shared" si="60"/>
        <v>508.87999999999994</v>
      </c>
      <c r="J1973" s="2">
        <f t="shared" si="61"/>
        <v>1.4553150112963649</v>
      </c>
    </row>
    <row r="1974" spans="1:10" x14ac:dyDescent="0.3">
      <c r="A1974" s="1">
        <v>45403</v>
      </c>
      <c r="B1974">
        <v>1298.5999999999999</v>
      </c>
      <c r="C1974">
        <v>248.72</v>
      </c>
      <c r="D1974">
        <v>1</v>
      </c>
      <c r="E1974" s="2" t="s">
        <v>13</v>
      </c>
      <c r="F1974" s="2" t="s">
        <v>9</v>
      </c>
      <c r="G1974" s="2" t="s">
        <v>10</v>
      </c>
      <c r="H1974" s="2" t="s">
        <v>18</v>
      </c>
      <c r="I1974" s="2">
        <f t="shared" si="60"/>
        <v>1049.8799999999999</v>
      </c>
      <c r="J1974" s="2">
        <f t="shared" si="61"/>
        <v>4.2211321968478606</v>
      </c>
    </row>
    <row r="1975" spans="1:10" x14ac:dyDescent="0.3">
      <c r="A1975" s="1">
        <v>45363</v>
      </c>
      <c r="B1975">
        <v>947.47</v>
      </c>
      <c r="C1975">
        <v>292.08999999999997</v>
      </c>
      <c r="D1975">
        <v>10</v>
      </c>
      <c r="E1975" s="2" t="s">
        <v>16</v>
      </c>
      <c r="F1975" s="2" t="s">
        <v>17</v>
      </c>
      <c r="G1975" s="2" t="s">
        <v>10</v>
      </c>
      <c r="H1975" s="2" t="s">
        <v>18</v>
      </c>
      <c r="I1975" s="2">
        <f t="shared" si="60"/>
        <v>655.38000000000011</v>
      </c>
      <c r="J1975" s="2">
        <f t="shared" si="61"/>
        <v>2.2437604847820882</v>
      </c>
    </row>
    <row r="1976" spans="1:10" x14ac:dyDescent="0.3">
      <c r="A1976" s="1">
        <v>45342</v>
      </c>
      <c r="B1976">
        <v>878.33</v>
      </c>
      <c r="C1976">
        <v>224.83</v>
      </c>
      <c r="D1976">
        <v>1</v>
      </c>
      <c r="E1976" s="2" t="s">
        <v>8</v>
      </c>
      <c r="F1976" s="2" t="s">
        <v>9</v>
      </c>
      <c r="G1976" s="2" t="s">
        <v>12</v>
      </c>
      <c r="H1976" s="2" t="s">
        <v>20</v>
      </c>
      <c r="I1976" s="2">
        <f t="shared" si="60"/>
        <v>653.5</v>
      </c>
      <c r="J1976" s="2">
        <f t="shared" si="61"/>
        <v>2.9066405728772851</v>
      </c>
    </row>
    <row r="1977" spans="1:10" x14ac:dyDescent="0.3">
      <c r="A1977" s="1">
        <v>45383</v>
      </c>
      <c r="B1977">
        <v>417.47</v>
      </c>
      <c r="C1977">
        <v>185.98</v>
      </c>
      <c r="D1977">
        <v>3</v>
      </c>
      <c r="E1977" s="2" t="s">
        <v>8</v>
      </c>
      <c r="F1977" s="2" t="s">
        <v>9</v>
      </c>
      <c r="G1977" s="2" t="s">
        <v>12</v>
      </c>
      <c r="H1977" s="2" t="s">
        <v>11</v>
      </c>
      <c r="I1977" s="2">
        <f t="shared" si="60"/>
        <v>231.49000000000004</v>
      </c>
      <c r="J1977" s="2">
        <f t="shared" si="61"/>
        <v>1.2447037315840415</v>
      </c>
    </row>
    <row r="1978" spans="1:10" x14ac:dyDescent="0.3">
      <c r="A1978" s="1">
        <v>45340</v>
      </c>
      <c r="B1978">
        <v>510.19</v>
      </c>
      <c r="C1978">
        <v>16.36</v>
      </c>
      <c r="D1978">
        <v>5</v>
      </c>
      <c r="E1978" s="2" t="s">
        <v>16</v>
      </c>
      <c r="F1978" s="2" t="s">
        <v>9</v>
      </c>
      <c r="G1978" s="2" t="s">
        <v>10</v>
      </c>
      <c r="H1978" s="2" t="s">
        <v>11</v>
      </c>
      <c r="I1978" s="2">
        <f t="shared" si="60"/>
        <v>493.83</v>
      </c>
      <c r="J1978" s="2">
        <f t="shared" si="61"/>
        <v>30.18520782396088</v>
      </c>
    </row>
    <row r="1979" spans="1:10" x14ac:dyDescent="0.3">
      <c r="A1979" s="1">
        <v>45406</v>
      </c>
      <c r="B1979">
        <v>1333.59</v>
      </c>
      <c r="C1979">
        <v>300.66000000000003</v>
      </c>
      <c r="D1979">
        <v>4</v>
      </c>
      <c r="E1979" s="2" t="s">
        <v>16</v>
      </c>
      <c r="F1979" s="2" t="s">
        <v>17</v>
      </c>
      <c r="G1979" s="2" t="s">
        <v>19</v>
      </c>
      <c r="H1979" s="2" t="s">
        <v>11</v>
      </c>
      <c r="I1979" s="2">
        <f t="shared" si="60"/>
        <v>1032.9299999999998</v>
      </c>
      <c r="J1979" s="2">
        <f t="shared" si="61"/>
        <v>3.4355418080223501</v>
      </c>
    </row>
    <row r="1980" spans="1:10" x14ac:dyDescent="0.3">
      <c r="A1980" s="1">
        <v>45315</v>
      </c>
      <c r="B1980">
        <v>488.72</v>
      </c>
      <c r="C1980">
        <v>255.3</v>
      </c>
      <c r="D1980">
        <v>3</v>
      </c>
      <c r="E1980" s="2" t="s">
        <v>8</v>
      </c>
      <c r="F1980" s="2" t="s">
        <v>17</v>
      </c>
      <c r="G1980" s="2" t="s">
        <v>12</v>
      </c>
      <c r="H1980" s="2" t="s">
        <v>11</v>
      </c>
      <c r="I1980" s="2">
        <f t="shared" si="60"/>
        <v>233.42000000000002</v>
      </c>
      <c r="J1980" s="2">
        <f t="shared" si="61"/>
        <v>0.91429690560125343</v>
      </c>
    </row>
    <row r="1981" spans="1:10" x14ac:dyDescent="0.3">
      <c r="A1981" s="1">
        <v>45393</v>
      </c>
      <c r="B1981">
        <v>1094.1099999999999</v>
      </c>
      <c r="C1981">
        <v>416.42</v>
      </c>
      <c r="D1981">
        <v>10</v>
      </c>
      <c r="E1981" s="2" t="s">
        <v>8</v>
      </c>
      <c r="F1981" s="2" t="s">
        <v>9</v>
      </c>
      <c r="G1981" s="2" t="s">
        <v>19</v>
      </c>
      <c r="H1981" s="2" t="s">
        <v>18</v>
      </c>
      <c r="I1981" s="2">
        <f t="shared" si="60"/>
        <v>677.68999999999983</v>
      </c>
      <c r="J1981" s="2">
        <f t="shared" si="61"/>
        <v>1.6274194323039235</v>
      </c>
    </row>
    <row r="1982" spans="1:10" x14ac:dyDescent="0.3">
      <c r="A1982" s="1">
        <v>45365</v>
      </c>
      <c r="B1982">
        <v>1393.99</v>
      </c>
      <c r="C1982">
        <v>471.4</v>
      </c>
      <c r="D1982">
        <v>9</v>
      </c>
      <c r="E1982" s="2" t="s">
        <v>13</v>
      </c>
      <c r="F1982" s="2" t="s">
        <v>17</v>
      </c>
      <c r="G1982" s="2" t="s">
        <v>10</v>
      </c>
      <c r="H1982" s="2" t="s">
        <v>11</v>
      </c>
      <c r="I1982" s="2">
        <f t="shared" si="60"/>
        <v>922.59</v>
      </c>
      <c r="J1982" s="2">
        <f t="shared" si="61"/>
        <v>1.9571277047093765</v>
      </c>
    </row>
    <row r="1983" spans="1:10" x14ac:dyDescent="0.3">
      <c r="A1983" s="1">
        <v>45294</v>
      </c>
      <c r="B1983">
        <v>1302.97</v>
      </c>
      <c r="C1983">
        <v>290.23</v>
      </c>
      <c r="D1983">
        <v>6</v>
      </c>
      <c r="E1983" s="2" t="s">
        <v>8</v>
      </c>
      <c r="F1983" s="2" t="s">
        <v>17</v>
      </c>
      <c r="G1983" s="2" t="s">
        <v>14</v>
      </c>
      <c r="H1983" s="2" t="s">
        <v>15</v>
      </c>
      <c r="I1983" s="2">
        <f t="shared" si="60"/>
        <v>1012.74</v>
      </c>
      <c r="J1983" s="2">
        <f t="shared" si="61"/>
        <v>3.4894394101230057</v>
      </c>
    </row>
    <row r="1984" spans="1:10" x14ac:dyDescent="0.3">
      <c r="A1984" s="1">
        <v>45354</v>
      </c>
      <c r="B1984">
        <v>584.9</v>
      </c>
      <c r="C1984">
        <v>185.62</v>
      </c>
      <c r="D1984">
        <v>5</v>
      </c>
      <c r="E1984" s="2" t="s">
        <v>13</v>
      </c>
      <c r="F1984" s="2" t="s">
        <v>9</v>
      </c>
      <c r="G1984" s="2" t="s">
        <v>14</v>
      </c>
      <c r="H1984" s="2" t="s">
        <v>11</v>
      </c>
      <c r="I1984" s="2">
        <f t="shared" si="60"/>
        <v>399.28</v>
      </c>
      <c r="J1984" s="2">
        <f t="shared" si="61"/>
        <v>2.1510613080487015</v>
      </c>
    </row>
    <row r="1985" spans="1:10" x14ac:dyDescent="0.3">
      <c r="A1985" s="1">
        <v>45411</v>
      </c>
      <c r="B1985">
        <v>1330.68</v>
      </c>
      <c r="C1985">
        <v>42.34</v>
      </c>
      <c r="D1985">
        <v>9</v>
      </c>
      <c r="E1985" s="2" t="s">
        <v>13</v>
      </c>
      <c r="F1985" s="2" t="s">
        <v>9</v>
      </c>
      <c r="G1985" s="2" t="s">
        <v>19</v>
      </c>
      <c r="H1985" s="2" t="s">
        <v>18</v>
      </c>
      <c r="I1985" s="2">
        <f t="shared" si="60"/>
        <v>1288.3400000000001</v>
      </c>
      <c r="J1985" s="2">
        <f t="shared" si="61"/>
        <v>30.428436466698159</v>
      </c>
    </row>
    <row r="1986" spans="1:10" x14ac:dyDescent="0.3">
      <c r="A1986" s="1">
        <v>45304</v>
      </c>
      <c r="B1986">
        <v>1085.24</v>
      </c>
      <c r="C1986">
        <v>439.06</v>
      </c>
      <c r="D1986">
        <v>2</v>
      </c>
      <c r="E1986" s="2" t="s">
        <v>8</v>
      </c>
      <c r="F1986" s="2" t="s">
        <v>17</v>
      </c>
      <c r="G1986" s="2" t="s">
        <v>12</v>
      </c>
      <c r="H1986" s="2" t="s">
        <v>20</v>
      </c>
      <c r="I1986" s="2">
        <f t="shared" ref="I1986:I2001" si="62">B1986-C1986</f>
        <v>646.18000000000006</v>
      </c>
      <c r="J1986" s="2">
        <f t="shared" ref="J1986:J2001" si="63">IF(C1986=0,0,I1986/C1986)</f>
        <v>1.4717350703776251</v>
      </c>
    </row>
    <row r="1987" spans="1:10" x14ac:dyDescent="0.3">
      <c r="A1987" s="1">
        <v>45302</v>
      </c>
      <c r="B1987">
        <v>309.32</v>
      </c>
      <c r="C1987">
        <v>279.19</v>
      </c>
      <c r="D1987">
        <v>8</v>
      </c>
      <c r="E1987" s="2" t="s">
        <v>8</v>
      </c>
      <c r="F1987" s="2" t="s">
        <v>9</v>
      </c>
      <c r="G1987" s="2" t="s">
        <v>14</v>
      </c>
      <c r="H1987" s="2" t="s">
        <v>11</v>
      </c>
      <c r="I1987" s="2">
        <f t="shared" si="62"/>
        <v>30.129999999999995</v>
      </c>
      <c r="J1987" s="2">
        <f t="shared" si="63"/>
        <v>0.10791933808517495</v>
      </c>
    </row>
    <row r="1988" spans="1:10" x14ac:dyDescent="0.3">
      <c r="A1988" s="1">
        <v>45303</v>
      </c>
      <c r="B1988">
        <v>599.66</v>
      </c>
      <c r="C1988">
        <v>324.45999999999998</v>
      </c>
      <c r="D1988">
        <v>3</v>
      </c>
      <c r="E1988" s="2" t="s">
        <v>13</v>
      </c>
      <c r="F1988" s="2" t="s">
        <v>9</v>
      </c>
      <c r="G1988" s="2" t="s">
        <v>10</v>
      </c>
      <c r="H1988" s="2" t="s">
        <v>18</v>
      </c>
      <c r="I1988" s="2">
        <f t="shared" si="62"/>
        <v>275.2</v>
      </c>
      <c r="J1988" s="2">
        <f t="shared" si="63"/>
        <v>0.84817851198915117</v>
      </c>
    </row>
    <row r="1989" spans="1:10" x14ac:dyDescent="0.3">
      <c r="A1989" s="1">
        <v>45295</v>
      </c>
      <c r="B1989">
        <v>1478.67</v>
      </c>
      <c r="C1989">
        <v>197.06</v>
      </c>
      <c r="D1989">
        <v>6</v>
      </c>
      <c r="E1989" s="2" t="s">
        <v>8</v>
      </c>
      <c r="F1989" s="2" t="s">
        <v>17</v>
      </c>
      <c r="G1989" s="2" t="s">
        <v>19</v>
      </c>
      <c r="H1989" s="2" t="s">
        <v>20</v>
      </c>
      <c r="I1989" s="2">
        <f t="shared" si="62"/>
        <v>1281.6100000000001</v>
      </c>
      <c r="J1989" s="2">
        <f t="shared" si="63"/>
        <v>6.5036537095300933</v>
      </c>
    </row>
    <row r="1990" spans="1:10" x14ac:dyDescent="0.3">
      <c r="A1990" s="1">
        <v>45331</v>
      </c>
      <c r="B1990">
        <v>1277.57</v>
      </c>
      <c r="C1990">
        <v>350.04</v>
      </c>
      <c r="D1990">
        <v>2</v>
      </c>
      <c r="E1990" s="2" t="s">
        <v>13</v>
      </c>
      <c r="F1990" s="2" t="s">
        <v>17</v>
      </c>
      <c r="G1990" s="2" t="s">
        <v>12</v>
      </c>
      <c r="H1990" s="2" t="s">
        <v>18</v>
      </c>
      <c r="I1990" s="2">
        <f t="shared" si="62"/>
        <v>927.53</v>
      </c>
      <c r="J1990" s="2">
        <f t="shared" si="63"/>
        <v>2.6497828819563476</v>
      </c>
    </row>
    <row r="1991" spans="1:10" x14ac:dyDescent="0.3">
      <c r="A1991" s="1">
        <v>45412</v>
      </c>
      <c r="B1991">
        <v>694.11</v>
      </c>
      <c r="C1991">
        <v>170.85</v>
      </c>
      <c r="D1991">
        <v>3</v>
      </c>
      <c r="E1991" s="2" t="s">
        <v>8</v>
      </c>
      <c r="F1991" s="2" t="s">
        <v>9</v>
      </c>
      <c r="G1991" s="2" t="s">
        <v>12</v>
      </c>
      <c r="H1991" s="2" t="s">
        <v>11</v>
      </c>
      <c r="I1991" s="2">
        <f t="shared" si="62"/>
        <v>523.26</v>
      </c>
      <c r="J1991" s="2">
        <f t="shared" si="63"/>
        <v>3.062686567164179</v>
      </c>
    </row>
    <row r="1992" spans="1:10" x14ac:dyDescent="0.3">
      <c r="A1992" s="1">
        <v>45401</v>
      </c>
      <c r="B1992">
        <v>1246.8499999999999</v>
      </c>
      <c r="C1992">
        <v>334.53</v>
      </c>
      <c r="D1992">
        <v>9</v>
      </c>
      <c r="E1992" s="2" t="s">
        <v>8</v>
      </c>
      <c r="F1992" s="2" t="s">
        <v>17</v>
      </c>
      <c r="G1992" s="2" t="s">
        <v>19</v>
      </c>
      <c r="H1992" s="2" t="s">
        <v>20</v>
      </c>
      <c r="I1992" s="2">
        <f t="shared" si="62"/>
        <v>912.31999999999994</v>
      </c>
      <c r="J1992" s="2">
        <f t="shared" si="63"/>
        <v>2.7271694616327387</v>
      </c>
    </row>
    <row r="1993" spans="1:10" x14ac:dyDescent="0.3">
      <c r="A1993" s="1">
        <v>45310</v>
      </c>
      <c r="B1993">
        <v>1175.26</v>
      </c>
      <c r="C1993">
        <v>158.72999999999999</v>
      </c>
      <c r="D1993">
        <v>4</v>
      </c>
      <c r="E1993" s="2" t="s">
        <v>13</v>
      </c>
      <c r="F1993" s="2" t="s">
        <v>9</v>
      </c>
      <c r="G1993" s="2" t="s">
        <v>19</v>
      </c>
      <c r="H1993" s="2" t="s">
        <v>20</v>
      </c>
      <c r="I1993" s="2">
        <f t="shared" si="62"/>
        <v>1016.53</v>
      </c>
      <c r="J1993" s="2">
        <f t="shared" si="63"/>
        <v>6.404145404145404</v>
      </c>
    </row>
    <row r="1994" spans="1:10" x14ac:dyDescent="0.3">
      <c r="A1994" s="1">
        <v>45394</v>
      </c>
      <c r="B1994">
        <v>1461.03</v>
      </c>
      <c r="C1994">
        <v>155.61000000000001</v>
      </c>
      <c r="D1994">
        <v>3</v>
      </c>
      <c r="E1994" s="2" t="s">
        <v>16</v>
      </c>
      <c r="F1994" s="2" t="s">
        <v>9</v>
      </c>
      <c r="G1994" s="2" t="s">
        <v>10</v>
      </c>
      <c r="H1994" s="2" t="s">
        <v>11</v>
      </c>
      <c r="I1994" s="2">
        <f t="shared" si="62"/>
        <v>1305.42</v>
      </c>
      <c r="J1994" s="2">
        <f t="shared" si="63"/>
        <v>8.3890495469442836</v>
      </c>
    </row>
    <row r="1995" spans="1:10" x14ac:dyDescent="0.3">
      <c r="A1995" s="1">
        <v>45388</v>
      </c>
      <c r="B1995">
        <v>260.64</v>
      </c>
      <c r="C1995">
        <v>273.8</v>
      </c>
      <c r="D1995">
        <v>5</v>
      </c>
      <c r="E1995" s="2" t="s">
        <v>16</v>
      </c>
      <c r="F1995" s="2" t="s">
        <v>17</v>
      </c>
      <c r="G1995" s="2" t="s">
        <v>12</v>
      </c>
      <c r="H1995" s="2" t="s">
        <v>20</v>
      </c>
      <c r="I1995" s="2">
        <f t="shared" si="62"/>
        <v>-13.160000000000025</v>
      </c>
      <c r="J1995" s="2">
        <f t="shared" si="63"/>
        <v>-4.8064280496713019E-2</v>
      </c>
    </row>
    <row r="1996" spans="1:10" x14ac:dyDescent="0.3">
      <c r="A1996" s="1">
        <v>45337</v>
      </c>
      <c r="B1996">
        <v>936.22</v>
      </c>
      <c r="C1996">
        <v>195.46</v>
      </c>
      <c r="D1996">
        <v>10</v>
      </c>
      <c r="E1996" s="2" t="s">
        <v>8</v>
      </c>
      <c r="F1996" s="2" t="s">
        <v>9</v>
      </c>
      <c r="G1996" s="2" t="s">
        <v>14</v>
      </c>
      <c r="H1996" s="2" t="s">
        <v>11</v>
      </c>
      <c r="I1996" s="2">
        <f t="shared" si="62"/>
        <v>740.76</v>
      </c>
      <c r="J1996" s="2">
        <f t="shared" si="63"/>
        <v>3.7898291210477844</v>
      </c>
    </row>
    <row r="1997" spans="1:10" x14ac:dyDescent="0.3">
      <c r="A1997" s="1">
        <v>45307</v>
      </c>
      <c r="B1997">
        <v>1414.83</v>
      </c>
      <c r="C1997">
        <v>148.01</v>
      </c>
      <c r="D1997">
        <v>6</v>
      </c>
      <c r="E1997" s="2" t="s">
        <v>16</v>
      </c>
      <c r="F1997" s="2" t="s">
        <v>17</v>
      </c>
      <c r="G1997" s="2" t="s">
        <v>12</v>
      </c>
      <c r="H1997" s="2" t="s">
        <v>11</v>
      </c>
      <c r="I1997" s="2">
        <f t="shared" si="62"/>
        <v>1266.82</v>
      </c>
      <c r="J1997" s="2">
        <f t="shared" si="63"/>
        <v>8.5590162826836025</v>
      </c>
    </row>
    <row r="1998" spans="1:10" x14ac:dyDescent="0.3">
      <c r="A1998" s="1">
        <v>45410</v>
      </c>
      <c r="B1998">
        <v>1197.29</v>
      </c>
      <c r="C1998">
        <v>395.23</v>
      </c>
      <c r="D1998">
        <v>7</v>
      </c>
      <c r="E1998" s="2" t="s">
        <v>13</v>
      </c>
      <c r="F1998" s="2" t="s">
        <v>17</v>
      </c>
      <c r="G1998" s="2" t="s">
        <v>10</v>
      </c>
      <c r="H1998" s="2" t="s">
        <v>20</v>
      </c>
      <c r="I1998" s="2">
        <f t="shared" si="62"/>
        <v>802.06</v>
      </c>
      <c r="J1998" s="2">
        <f t="shared" si="63"/>
        <v>2.0293499987349137</v>
      </c>
    </row>
    <row r="1999" spans="1:10" x14ac:dyDescent="0.3">
      <c r="A1999" s="1">
        <v>45402</v>
      </c>
      <c r="B1999">
        <v>203.48</v>
      </c>
      <c r="C1999">
        <v>14.99</v>
      </c>
      <c r="D1999">
        <v>5</v>
      </c>
      <c r="E1999" s="2" t="s">
        <v>13</v>
      </c>
      <c r="F1999" s="2" t="s">
        <v>17</v>
      </c>
      <c r="G1999" s="2" t="s">
        <v>14</v>
      </c>
      <c r="H1999" s="2" t="s">
        <v>18</v>
      </c>
      <c r="I1999" s="2">
        <f t="shared" si="62"/>
        <v>188.48999999999998</v>
      </c>
      <c r="J1999" s="2">
        <f t="shared" si="63"/>
        <v>12.574382921947963</v>
      </c>
    </row>
    <row r="2000" spans="1:10" x14ac:dyDescent="0.3">
      <c r="A2000" s="1">
        <v>45406</v>
      </c>
      <c r="B2000">
        <v>692.53</v>
      </c>
      <c r="C2000">
        <v>451.47</v>
      </c>
      <c r="D2000">
        <v>2</v>
      </c>
      <c r="E2000" s="2" t="s">
        <v>8</v>
      </c>
      <c r="F2000" s="2" t="s">
        <v>9</v>
      </c>
      <c r="G2000" s="2" t="s">
        <v>12</v>
      </c>
      <c r="H2000" s="2" t="s">
        <v>11</v>
      </c>
      <c r="I2000" s="2">
        <f t="shared" si="62"/>
        <v>241.05999999999995</v>
      </c>
      <c r="J2000" s="2">
        <f t="shared" si="63"/>
        <v>0.53394466963474851</v>
      </c>
    </row>
    <row r="2001" spans="1:10" x14ac:dyDescent="0.3">
      <c r="A2001" s="1">
        <v>45323</v>
      </c>
      <c r="B2001">
        <v>774.21</v>
      </c>
      <c r="C2001">
        <v>264.74</v>
      </c>
      <c r="D2001">
        <v>0</v>
      </c>
      <c r="E2001" s="2" t="s">
        <v>13</v>
      </c>
      <c r="F2001" s="2" t="s">
        <v>9</v>
      </c>
      <c r="G2001" s="2" t="s">
        <v>14</v>
      </c>
      <c r="H2001" s="2" t="s">
        <v>20</v>
      </c>
      <c r="I2001" s="2">
        <f t="shared" si="62"/>
        <v>509.47</v>
      </c>
      <c r="J2001" s="2">
        <f t="shared" si="63"/>
        <v>1.9244164085517868</v>
      </c>
    </row>
    <row r="2002" spans="1:10" x14ac:dyDescent="0.3">
      <c r="E2002" s="2"/>
      <c r="F2002" s="2"/>
      <c r="G2002" s="2"/>
      <c r="H2002" s="2"/>
      <c r="I2002" s="2"/>
    </row>
  </sheetData>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10C0B-9094-461D-B795-8880D4EF77AF}">
  <dimension ref="A1"/>
  <sheetViews>
    <sheetView showGridLines="0" tabSelected="1" zoomScale="96" workbookViewId="0">
      <selection activeCell="X30" sqref="X3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7403F3-352E-476B-9B3C-80E3B27CC4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BERW HAVEN CAFE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Hamdy Helwa</dc:creator>
  <cp:lastModifiedBy>Ahmed Hamdy Helwa</cp:lastModifiedBy>
  <dcterms:created xsi:type="dcterms:W3CDTF">2025-12-27T17:32:30Z</dcterms:created>
  <dcterms:modified xsi:type="dcterms:W3CDTF">2025-12-27T19:52:42Z</dcterms:modified>
</cp:coreProperties>
</file>